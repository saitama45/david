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 Data\Downloads\"/>
    </mc:Choice>
  </mc:AlternateContent>
  <xr:revisionPtr revIDLastSave="0" documentId="8_{F72EC02D-54E6-4416-BAD2-49A3838DDED3}" xr6:coauthVersionLast="47" xr6:coauthVersionMax="47" xr10:uidLastSave="{00000000-0000-0000-0000-000000000000}"/>
  <bookViews>
    <workbookView xWindow="-108" yWindow="-108" windowWidth="23256" windowHeight="13896" xr2:uid="{A6DCC3ED-CC9E-4A49-B28B-0D3DB2519275}"/>
  </bookViews>
  <sheets>
    <sheet name="Adoption  Success Rat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0" i="1" l="1"/>
  <c r="Z40" i="1"/>
  <c r="X40" i="1"/>
  <c r="W40" i="1"/>
  <c r="Y40" i="1" s="1"/>
  <c r="AB39" i="1"/>
  <c r="Z39" i="1"/>
  <c r="X39" i="1"/>
  <c r="W39" i="1"/>
  <c r="Y39" i="1" s="1"/>
  <c r="AB38" i="1"/>
  <c r="Z38" i="1"/>
  <c r="X38" i="1"/>
  <c r="W38" i="1"/>
  <c r="Y38" i="1" s="1"/>
  <c r="AB37" i="1"/>
  <c r="Z37" i="1"/>
  <c r="X37" i="1"/>
  <c r="W37" i="1"/>
  <c r="Y37" i="1" s="1"/>
  <c r="AB36" i="1"/>
  <c r="Z36" i="1"/>
  <c r="X36" i="1"/>
  <c r="W36" i="1"/>
  <c r="Y36" i="1" s="1"/>
  <c r="A36" i="1"/>
  <c r="AB35" i="1"/>
  <c r="Z35" i="1"/>
  <c r="X35" i="1"/>
  <c r="Y35" i="1" s="1"/>
  <c r="W35" i="1"/>
  <c r="A35" i="1"/>
  <c r="AB34" i="1"/>
  <c r="Z34" i="1"/>
  <c r="X34" i="1"/>
  <c r="W34" i="1"/>
  <c r="Y34" i="1" s="1"/>
  <c r="A34" i="1"/>
  <c r="AB33" i="1"/>
  <c r="Z33" i="1"/>
  <c r="X33" i="1"/>
  <c r="W33" i="1"/>
  <c r="Y33" i="1" s="1"/>
  <c r="A33" i="1"/>
  <c r="AB32" i="1"/>
  <c r="Z32" i="1"/>
  <c r="X32" i="1"/>
  <c r="W32" i="1"/>
  <c r="Y32" i="1" s="1"/>
  <c r="A32" i="1"/>
  <c r="AB31" i="1"/>
  <c r="Z31" i="1"/>
  <c r="X31" i="1"/>
  <c r="Y31" i="1" s="1"/>
  <c r="W31" i="1"/>
  <c r="A31" i="1"/>
  <c r="AB30" i="1"/>
  <c r="Z30" i="1"/>
  <c r="AD30" i="1" s="1"/>
  <c r="X30" i="1"/>
  <c r="W30" i="1"/>
  <c r="Y30" i="1" s="1"/>
  <c r="A30" i="1"/>
  <c r="AB29" i="1"/>
  <c r="Z29" i="1"/>
  <c r="X29" i="1"/>
  <c r="W29" i="1"/>
  <c r="Y29" i="1" s="1"/>
  <c r="A29" i="1"/>
  <c r="AB28" i="1"/>
  <c r="Z28" i="1"/>
  <c r="X28" i="1"/>
  <c r="W28" i="1"/>
  <c r="Y28" i="1" s="1"/>
  <c r="A28" i="1"/>
  <c r="AB27" i="1"/>
  <c r="Z27" i="1"/>
  <c r="X27" i="1"/>
  <c r="Y27" i="1" s="1"/>
  <c r="W27" i="1"/>
  <c r="A27" i="1"/>
  <c r="AB26" i="1"/>
  <c r="Z26" i="1"/>
  <c r="X26" i="1"/>
  <c r="W26" i="1"/>
  <c r="W20" i="1" s="1"/>
  <c r="A26" i="1"/>
  <c r="AB25" i="1"/>
  <c r="Z25" i="1"/>
  <c r="X25" i="1"/>
  <c r="W25" i="1"/>
  <c r="Y25" i="1" s="1"/>
  <c r="A25" i="1"/>
  <c r="AB24" i="1"/>
  <c r="Z24" i="1"/>
  <c r="X24" i="1"/>
  <c r="W24" i="1"/>
  <c r="Y24" i="1" s="1"/>
  <c r="A24" i="1"/>
  <c r="AB23" i="1"/>
  <c r="Z23" i="1"/>
  <c r="X23" i="1"/>
  <c r="X20" i="1" s="1"/>
  <c r="X19" i="1" s="1"/>
  <c r="W23" i="1"/>
  <c r="A23" i="1"/>
  <c r="AE21" i="1"/>
  <c r="AD28" i="1" l="1"/>
  <c r="AA28" i="1"/>
  <c r="AC28" i="1"/>
  <c r="AC38" i="1"/>
  <c r="AA38" i="1"/>
  <c r="AD23" i="1"/>
  <c r="W19" i="1"/>
  <c r="AD38" i="1"/>
  <c r="AD24" i="1"/>
  <c r="AC24" i="1"/>
  <c r="AA24" i="1"/>
  <c r="AC31" i="1"/>
  <c r="AA31" i="1"/>
  <c r="AC36" i="1"/>
  <c r="AA36" i="1"/>
  <c r="AD36" i="1"/>
  <c r="AD39" i="1"/>
  <c r="AC39" i="1"/>
  <c r="AA39" i="1"/>
  <c r="AC29" i="1"/>
  <c r="AA29" i="1"/>
  <c r="AD29" i="1"/>
  <c r="AD31" i="1"/>
  <c r="AC35" i="1"/>
  <c r="AA35" i="1"/>
  <c r="AA34" i="1"/>
  <c r="AC34" i="1"/>
  <c r="AD35" i="1"/>
  <c r="AC27" i="1"/>
  <c r="AA27" i="1"/>
  <c r="AD32" i="1"/>
  <c r="AC32" i="1"/>
  <c r="AA32" i="1"/>
  <c r="AD34" i="1"/>
  <c r="AC37" i="1"/>
  <c r="AA37" i="1"/>
  <c r="AC40" i="1"/>
  <c r="AA40" i="1"/>
  <c r="AC25" i="1"/>
  <c r="AD25" i="1"/>
  <c r="AA25" i="1"/>
  <c r="AD27" i="1"/>
  <c r="AC30" i="1"/>
  <c r="AA30" i="1"/>
  <c r="AD37" i="1"/>
  <c r="AD40" i="1"/>
  <c r="AC33" i="1"/>
  <c r="AA33" i="1"/>
  <c r="AD33" i="1"/>
  <c r="Y23" i="1"/>
  <c r="Y26" i="1"/>
  <c r="AA23" i="1" l="1"/>
  <c r="AC23" i="1"/>
  <c r="AC26" i="1"/>
  <c r="AA26" i="1"/>
  <c r="AD26" i="1"/>
  <c r="AD21" i="1" s="1"/>
  <c r="AC21" i="1" l="1"/>
</calcChain>
</file>

<file path=xl/sharedStrings.xml><?xml version="1.0" encoding="utf-8"?>
<sst xmlns="http://schemas.openxmlformats.org/spreadsheetml/2006/main" count="78" uniqueCount="50">
  <si>
    <t>c/o SO</t>
  </si>
  <si>
    <t>c/o BS</t>
  </si>
  <si>
    <t>Running  Ave. Success Rate</t>
  </si>
  <si>
    <t>Running  Ave. Close Rate</t>
  </si>
  <si>
    <t>Running  Ave. Adoption Rate</t>
  </si>
  <si>
    <t>Week Range</t>
  </si>
  <si>
    <t>Week No</t>
  </si>
  <si>
    <t>Incoming</t>
  </si>
  <si>
    <t>Closed</t>
  </si>
  <si>
    <t>Transactions</t>
  </si>
  <si>
    <t>Ticket Type</t>
  </si>
  <si>
    <t>Order</t>
  </si>
  <si>
    <t>Commit</t>
  </si>
  <si>
    <t>Receiving</t>
  </si>
  <si>
    <t>Wastage</t>
  </si>
  <si>
    <t>MEC</t>
  </si>
  <si>
    <t>Sales Upload</t>
  </si>
  <si>
    <t>Admin / Technical Concerns
(Internet, software, login, equipment, etc)</t>
  </si>
  <si>
    <t>Module Concerns</t>
  </si>
  <si>
    <t>Technical Concerns</t>
  </si>
  <si>
    <t>Total Tickets</t>
  </si>
  <si>
    <t>Total Closed</t>
  </si>
  <si>
    <t>Total Open</t>
  </si>
  <si>
    <t>Total Transactions</t>
  </si>
  <si>
    <r>
      <rPr>
        <b/>
        <i/>
        <sz val="10"/>
        <color theme="1"/>
        <rFont val="Arial"/>
      </rPr>
      <t xml:space="preserve">Success Rate
</t>
    </r>
    <r>
      <rPr>
        <sz val="10"/>
        <color theme="1"/>
        <rFont val="Arial"/>
      </rPr>
      <t>1 - (total tickets / total transactions)</t>
    </r>
  </si>
  <si>
    <r>
      <rPr>
        <b/>
        <i/>
        <sz val="10"/>
        <color theme="1"/>
        <rFont val="Arial"/>
      </rPr>
      <t xml:space="preserve">Close Rate
</t>
    </r>
    <r>
      <rPr>
        <sz val="10"/>
        <color theme="1"/>
        <rFont val="Arial"/>
      </rPr>
      <t>(total closed / total tickets)</t>
    </r>
  </si>
  <si>
    <r>
      <rPr>
        <b/>
        <i/>
        <sz val="10"/>
        <color theme="1"/>
        <rFont val="Arial"/>
      </rPr>
      <t xml:space="preserve">Adoption Rate
</t>
    </r>
    <r>
      <rPr>
        <sz val="10"/>
        <color theme="1"/>
        <rFont val="Arial"/>
      </rPr>
      <t>(David defined rate)</t>
    </r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</si>
  <si>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</si>
  <si>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</si>
  <si>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</si>
  <si>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</si>
  <si>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</si>
  <si>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</si>
  <si>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</si>
  <si>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</si>
  <si>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</si>
  <si>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</si>
  <si>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</si>
  <si>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</si>
  <si>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</si>
  <si>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</si>
  <si>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Aug 10-Aug 16</t>
  </si>
  <si>
    <t>Week 33</t>
  </si>
  <si>
    <t>Aug 17-Aug 23</t>
  </si>
  <si>
    <t>Week 34</t>
  </si>
  <si>
    <t>Aug 24-Aug30</t>
  </si>
  <si>
    <t>Week 35</t>
  </si>
  <si>
    <t>Aug 31-Sep6</t>
  </si>
  <si>
    <t>Week 36</t>
  </si>
  <si>
    <t>-indicate top drivers for inc/dec of adoption &amp; 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</si>
</sst>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name val="Arial"/>
    </font>
    <font>
      <sz val="10"/>
      <color rgb="FFFFFFFF"/>
      <name val="Arial"/>
      <scheme val="minor"/>
    </font>
    <font>
      <b/>
      <sz val="10"/>
      <color rgb="FF000000"/>
      <name val="Arial"/>
      <scheme val="minor"/>
    </font>
    <font>
      <b/>
      <i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9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2" fillId="3" borderId="3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/>
    </xf>
    <xf numFmtId="9" fontId="4" fillId="4" borderId="3" xfId="0" applyNumberFormat="1" applyFont="1" applyFill="1" applyBorder="1" applyAlignment="1">
      <alignment horizontal="center"/>
    </xf>
    <xf numFmtId="0" fontId="3" fillId="0" borderId="5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48227623850868E-2"/>
          <c:y val="0.11301989150090416"/>
          <c:w val="0.86241620914198169"/>
          <c:h val="0.80443037974683551"/>
        </c:manualLayout>
      </c:layout>
      <c:barChart>
        <c:barDir val="col"/>
        <c:grouping val="clustered"/>
        <c:varyColors val="1"/>
        <c:ser>
          <c:idx val="3"/>
          <c:order val="3"/>
          <c:tx>
            <c:strRef>
              <c:f>'Adoption  Success Rate'!$Y$22</c:f>
              <c:strCache>
                <c:ptCount val="1"/>
                <c:pt idx="0">
                  <c:v>Total Tickets</c:v>
                </c:pt>
              </c:strCache>
            </c:strRef>
          </c:tx>
          <c:spPr>
            <a:solidFill>
              <a:srgbClr val="34A853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'Adoption  Success Rate'!$B$23:$B$40</c:f>
              <c:strCache>
                <c:ptCount val="18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</c:strCache>
            </c:strRef>
          </c:cat>
          <c:val>
            <c:numRef>
              <c:f>'Adoption  Success Rate'!$Y$23:$Y$40</c:f>
              <c:numCache>
                <c:formatCode>General</c:formatCode>
                <c:ptCount val="18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8</c:v>
                </c:pt>
                <c:pt idx="11">
                  <c:v>4</c:v>
                </c:pt>
                <c:pt idx="12">
                  <c:v>19</c:v>
                </c:pt>
                <c:pt idx="13">
                  <c:v>7</c:v>
                </c:pt>
                <c:pt idx="14">
                  <c:v>14</c:v>
                </c:pt>
                <c:pt idx="15">
                  <c:v>10</c:v>
                </c:pt>
                <c:pt idx="16">
                  <c:v>8</c:v>
                </c:pt>
                <c:pt idx="17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EE-45FD-A006-A64CB8BAB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1458362"/>
        <c:axId val="1429929627"/>
      </c:barChart>
      <c:lineChart>
        <c:grouping val="standard"/>
        <c:varyColors val="1"/>
        <c:ser>
          <c:idx val="0"/>
          <c:order val="0"/>
          <c:tx>
            <c:strRef>
              <c:f>'Adoption  Success Rate'!$AC$22</c:f>
              <c:strCache>
                <c:ptCount val="1"/>
                <c:pt idx="0">
                  <c:v>Success Rate
1 - (total tickets / total transactions)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'Adoption  Success Rate'!$B$23:$B$40</c:f>
              <c:strCache>
                <c:ptCount val="18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</c:strCache>
            </c:strRef>
          </c:cat>
          <c:val>
            <c:numRef>
              <c:f>'Adoption  Success Rate'!$AC$23:$AC$37</c:f>
              <c:numCache>
                <c:formatCode>0%</c:formatCode>
                <c:ptCount val="15"/>
                <c:pt idx="0">
                  <c:v>0.97986577181208057</c:v>
                </c:pt>
                <c:pt idx="1">
                  <c:v>0.98753117206982544</c:v>
                </c:pt>
                <c:pt idx="2">
                  <c:v>0.99715909090909094</c:v>
                </c:pt>
                <c:pt idx="3">
                  <c:v>0.97716894977168955</c:v>
                </c:pt>
                <c:pt idx="4">
                  <c:v>0.98270893371757928</c:v>
                </c:pt>
                <c:pt idx="5">
                  <c:v>0.99404761904761907</c:v>
                </c:pt>
                <c:pt idx="6">
                  <c:v>0.99674267100977199</c:v>
                </c:pt>
                <c:pt idx="7">
                  <c:v>0.99677419354838714</c:v>
                </c:pt>
                <c:pt idx="8">
                  <c:v>0.99007444168734493</c:v>
                </c:pt>
                <c:pt idx="9">
                  <c:v>0.99383983572895274</c:v>
                </c:pt>
                <c:pt idx="10">
                  <c:v>0.98360655737704916</c:v>
                </c:pt>
                <c:pt idx="11">
                  <c:v>0.9887640449438202</c:v>
                </c:pt>
                <c:pt idx="12">
                  <c:v>0.96960000000000002</c:v>
                </c:pt>
                <c:pt idx="13">
                  <c:v>0.99081364829396323</c:v>
                </c:pt>
                <c:pt idx="14">
                  <c:v>0.97901049475262369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EE-45FD-A006-A64CB8BAB49D}"/>
            </c:ext>
          </c:extLst>
        </c:ser>
        <c:ser>
          <c:idx val="1"/>
          <c:order val="1"/>
          <c:tx>
            <c:strRef>
              <c:f>'Adoption  Success Rate'!$AE$22</c:f>
              <c:strCache>
                <c:ptCount val="1"/>
                <c:pt idx="0">
                  <c:v>Adoption Rate
(David defined rate)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'Adoption  Success Rate'!$B$23:$B$40</c:f>
              <c:strCache>
                <c:ptCount val="18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</c:strCache>
            </c:strRef>
          </c:cat>
          <c:val>
            <c:numRef>
              <c:f>'Adoption  Success Rate'!$AE$23:$AE$40</c:f>
              <c:numCache>
                <c:formatCode>0%</c:formatCode>
                <c:ptCount val="18"/>
                <c:pt idx="0">
                  <c:v>0.51200000000000001</c:v>
                </c:pt>
                <c:pt idx="1">
                  <c:v>0.49199999999999999</c:v>
                </c:pt>
                <c:pt idx="2">
                  <c:v>0.54800000000000004</c:v>
                </c:pt>
                <c:pt idx="3">
                  <c:v>0.52300000000000002</c:v>
                </c:pt>
                <c:pt idx="4">
                  <c:v>0.48899999999999999</c:v>
                </c:pt>
                <c:pt idx="5">
                  <c:v>0.48499999999999999</c:v>
                </c:pt>
                <c:pt idx="6">
                  <c:v>0.39100000000000001</c:v>
                </c:pt>
                <c:pt idx="7">
                  <c:v>0.36799999999999999</c:v>
                </c:pt>
                <c:pt idx="8">
                  <c:v>0.51900000000000002</c:v>
                </c:pt>
                <c:pt idx="9">
                  <c:v>0.53800000000000003</c:v>
                </c:pt>
                <c:pt idx="10">
                  <c:v>0.58099999999999996</c:v>
                </c:pt>
                <c:pt idx="11">
                  <c:v>0.627</c:v>
                </c:pt>
                <c:pt idx="12">
                  <c:v>0.69499999999999995</c:v>
                </c:pt>
                <c:pt idx="13">
                  <c:v>0.65900000000000003</c:v>
                </c:pt>
                <c:pt idx="14">
                  <c:v>0.64300000000000002</c:v>
                </c:pt>
                <c:pt idx="15">
                  <c:v>0.63</c:v>
                </c:pt>
                <c:pt idx="16">
                  <c:v>0.7</c:v>
                </c:pt>
                <c:pt idx="17">
                  <c:v>0.61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4EE-45FD-A006-A64CB8BAB49D}"/>
            </c:ext>
          </c:extLst>
        </c:ser>
        <c:ser>
          <c:idx val="2"/>
          <c:order val="2"/>
          <c:tx>
            <c:strRef>
              <c:f>'Adoption  Success Rate'!$AD$22</c:f>
              <c:strCache>
                <c:ptCount val="1"/>
                <c:pt idx="0">
                  <c:v>Close Rate
(total closed / total tickets)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'Adoption  Success Rate'!$B$23:$B$40</c:f>
              <c:strCache>
                <c:ptCount val="18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</c:strCache>
            </c:strRef>
          </c:cat>
          <c:val>
            <c:numRef>
              <c:f>'Adoption  Success Rate'!$AD$23:$AD$37</c:f>
              <c:numCache>
                <c:formatCode>0%</c:formatCode>
                <c:ptCount val="15"/>
                <c:pt idx="0">
                  <c:v>0.33333333333333331</c:v>
                </c:pt>
                <c:pt idx="1">
                  <c:v>0.8</c:v>
                </c:pt>
                <c:pt idx="2">
                  <c:v>0</c:v>
                </c:pt>
                <c:pt idx="3">
                  <c:v>0.8</c:v>
                </c:pt>
                <c:pt idx="4">
                  <c:v>1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0.66666666666666663</c:v>
                </c:pt>
                <c:pt idx="10">
                  <c:v>0.875</c:v>
                </c:pt>
                <c:pt idx="11">
                  <c:v>0.5</c:v>
                </c:pt>
                <c:pt idx="12">
                  <c:v>0.52631578947368418</c:v>
                </c:pt>
                <c:pt idx="13">
                  <c:v>0.2857142857142857</c:v>
                </c:pt>
                <c:pt idx="14">
                  <c:v>0.2857142857142857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4EE-45FD-A006-A64CB8BAB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497330"/>
        <c:axId val="1704719189"/>
      </c:lineChart>
      <c:catAx>
        <c:axId val="1791458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9929627"/>
        <c:crosses val="autoZero"/>
        <c:auto val="1"/>
        <c:lblAlgn val="ctr"/>
        <c:lblOffset val="100"/>
        <c:noMultiLvlLbl val="1"/>
      </c:catAx>
      <c:valAx>
        <c:axId val="1429929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1458362"/>
        <c:crosses val="autoZero"/>
        <c:crossBetween val="between"/>
      </c:valAx>
      <c:catAx>
        <c:axId val="8554973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04719189"/>
        <c:crosses val="autoZero"/>
        <c:auto val="1"/>
        <c:lblAlgn val="ctr"/>
        <c:lblOffset val="100"/>
        <c:noMultiLvlLbl val="1"/>
      </c:catAx>
      <c:valAx>
        <c:axId val="170471918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549733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 lvl="0">
              <a:defRPr b="0"/>
            </a:pPr>
            <a:endParaRPr lang="en-US"/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Module Concerns and Technical Concerns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'Adoption  Success Rate'!$W$21:$W$22</c:f>
              <c:strCache>
                <c:ptCount val="2"/>
                <c:pt idx="0">
                  <c:v>Ticket Type</c:v>
                </c:pt>
                <c:pt idx="1">
                  <c:v>Module Concerns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'Adoption  Success Rate'!$B$23:$B$40</c:f>
              <c:strCache>
                <c:ptCount val="18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</c:strCache>
            </c:strRef>
          </c:cat>
          <c:val>
            <c:numRef>
              <c:f>'Adoption  Success Rate'!$W$23:$W$40</c:f>
              <c:numCache>
                <c:formatCode>General</c:formatCode>
                <c:ptCount val="18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7</c:v>
                </c:pt>
                <c:pt idx="11">
                  <c:v>4</c:v>
                </c:pt>
                <c:pt idx="12">
                  <c:v>17</c:v>
                </c:pt>
                <c:pt idx="13">
                  <c:v>6</c:v>
                </c:pt>
                <c:pt idx="14">
                  <c:v>11</c:v>
                </c:pt>
                <c:pt idx="15">
                  <c:v>10</c:v>
                </c:pt>
                <c:pt idx="16">
                  <c:v>8</c:v>
                </c:pt>
                <c:pt idx="17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15D-485C-A0F5-4B7A6CD907E0}"/>
            </c:ext>
          </c:extLst>
        </c:ser>
        <c:ser>
          <c:idx val="1"/>
          <c:order val="1"/>
          <c:tx>
            <c:strRef>
              <c:f>'Adoption  Success Rate'!$X$21:$X$22</c:f>
              <c:strCache>
                <c:ptCount val="2"/>
                <c:pt idx="0">
                  <c:v>Ticket Type</c:v>
                </c:pt>
                <c:pt idx="1">
                  <c:v>Technical Concerns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'Adoption  Success Rate'!$B$23:$B$40</c:f>
              <c:strCache>
                <c:ptCount val="18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</c:strCache>
            </c:strRef>
          </c:cat>
          <c:val>
            <c:numRef>
              <c:f>'Adoption  Success Rate'!$X$23:$X$40</c:f>
              <c:numCache>
                <c:formatCode>General</c:formatCode>
                <c:ptCount val="1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15D-485C-A0F5-4B7A6CD90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813353"/>
        <c:axId val="425673757"/>
      </c:barChart>
      <c:catAx>
        <c:axId val="1170813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5673757"/>
        <c:crosses val="autoZero"/>
        <c:auto val="1"/>
        <c:lblAlgn val="ctr"/>
        <c:lblOffset val="100"/>
        <c:noMultiLvlLbl val="1"/>
      </c:catAx>
      <c:valAx>
        <c:axId val="425673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081335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4.4360351562500094E-2"/>
          <c:y val="0.1318508535489667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Total Closed and Total Open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'Adoption  Success Rate'!$Z$21:$Z$22</c:f>
              <c:strCache>
                <c:ptCount val="2"/>
                <c:pt idx="0">
                  <c:v>Ticket Type</c:v>
                </c:pt>
                <c:pt idx="1">
                  <c:v>Total Closed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'Adoption  Success Rate'!$B$23:$B$40</c:f>
              <c:strCache>
                <c:ptCount val="18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</c:strCache>
            </c:strRef>
          </c:cat>
          <c:val>
            <c:numRef>
              <c:f>'Adoption  Success Rate'!$Z$23:$Z$40</c:f>
              <c:numCache>
                <c:formatCode>General</c:formatCode>
                <c:ptCount val="18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7</c:v>
                </c:pt>
                <c:pt idx="11">
                  <c:v>2</c:v>
                </c:pt>
                <c:pt idx="12">
                  <c:v>10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5A-412E-B5F8-C44F337F4D9B}"/>
            </c:ext>
          </c:extLst>
        </c:ser>
        <c:ser>
          <c:idx val="1"/>
          <c:order val="1"/>
          <c:tx>
            <c:strRef>
              <c:f>'Adoption  Success Rate'!$AA$21:$AA$22</c:f>
              <c:strCache>
                <c:ptCount val="2"/>
                <c:pt idx="0">
                  <c:v>Ticket Type</c:v>
                </c:pt>
                <c:pt idx="1">
                  <c:v>Total Open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'Adoption  Success Rate'!$B$23:$B$40</c:f>
              <c:strCache>
                <c:ptCount val="18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</c:strCache>
            </c:strRef>
          </c:cat>
          <c:val>
            <c:numRef>
              <c:f>'Adoption  Success Rate'!$AA$23:$AA$40</c:f>
              <c:numCache>
                <c:formatCode>General</c:formatCode>
                <c:ptCount val="18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9</c:v>
                </c:pt>
                <c:pt idx="13">
                  <c:v>5</c:v>
                </c:pt>
                <c:pt idx="14">
                  <c:v>10</c:v>
                </c:pt>
                <c:pt idx="15">
                  <c:v>5</c:v>
                </c:pt>
                <c:pt idx="16">
                  <c:v>6</c:v>
                </c:pt>
                <c:pt idx="17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B5A-412E-B5F8-C44F337F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3061073"/>
        <c:axId val="1653380689"/>
      </c:barChart>
      <c:lineChart>
        <c:grouping val="standard"/>
        <c:varyColors val="0"/>
        <c:ser>
          <c:idx val="2"/>
          <c:order val="2"/>
          <c:tx>
            <c:strRef>
              <c:f>'Adoption  Success Rate'!$AD$21:$AD$22</c:f>
              <c:strCache>
                <c:ptCount val="2"/>
                <c:pt idx="0">
                  <c:v>66%</c:v>
                </c:pt>
                <c:pt idx="1">
                  <c:v>Close Rate
(total closed / total tickets)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'Adoption  Success Rate'!$B$23:$B$40</c:f>
              <c:strCache>
                <c:ptCount val="18"/>
                <c:pt idx="0">
                  <c:v>Week 19</c:v>
                </c:pt>
                <c:pt idx="1">
                  <c:v>Week 20</c:v>
                </c:pt>
                <c:pt idx="2">
                  <c:v>Week 21</c:v>
                </c:pt>
                <c:pt idx="3">
                  <c:v>Week 22</c:v>
                </c:pt>
                <c:pt idx="4">
                  <c:v>Week 23</c:v>
                </c:pt>
                <c:pt idx="5">
                  <c:v>Week 24</c:v>
                </c:pt>
                <c:pt idx="6">
                  <c:v>Week 25</c:v>
                </c:pt>
                <c:pt idx="7">
                  <c:v>Week 26</c:v>
                </c:pt>
                <c:pt idx="8">
                  <c:v>Week 27</c:v>
                </c:pt>
                <c:pt idx="9">
                  <c:v>Week 28</c:v>
                </c:pt>
                <c:pt idx="10">
                  <c:v>Week 29</c:v>
                </c:pt>
                <c:pt idx="11">
                  <c:v>Week 30</c:v>
                </c:pt>
                <c:pt idx="12">
                  <c:v>Week 31</c:v>
                </c:pt>
                <c:pt idx="13">
                  <c:v>Week 32</c:v>
                </c:pt>
                <c:pt idx="14">
                  <c:v>Week 33</c:v>
                </c:pt>
                <c:pt idx="15">
                  <c:v>Week 34</c:v>
                </c:pt>
                <c:pt idx="16">
                  <c:v>Week 35</c:v>
                </c:pt>
                <c:pt idx="17">
                  <c:v>Week 36</c:v>
                </c:pt>
              </c:strCache>
            </c:strRef>
          </c:cat>
          <c:val>
            <c:numRef>
              <c:f>'Adoption  Success Rate'!$AD$23:$AD$40</c:f>
              <c:numCache>
                <c:formatCode>0%</c:formatCode>
                <c:ptCount val="18"/>
                <c:pt idx="0">
                  <c:v>0.33333333333333331</c:v>
                </c:pt>
                <c:pt idx="1">
                  <c:v>0.8</c:v>
                </c:pt>
                <c:pt idx="2">
                  <c:v>0</c:v>
                </c:pt>
                <c:pt idx="3">
                  <c:v>0.8</c:v>
                </c:pt>
                <c:pt idx="4">
                  <c:v>1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0.66666666666666663</c:v>
                </c:pt>
                <c:pt idx="10">
                  <c:v>0.875</c:v>
                </c:pt>
                <c:pt idx="11">
                  <c:v>0.5</c:v>
                </c:pt>
                <c:pt idx="12">
                  <c:v>0.52631578947368418</c:v>
                </c:pt>
                <c:pt idx="13">
                  <c:v>0.2857142857142857</c:v>
                </c:pt>
                <c:pt idx="14">
                  <c:v>0.2857142857142857</c:v>
                </c:pt>
                <c:pt idx="15">
                  <c:v>0.5</c:v>
                </c:pt>
                <c:pt idx="16">
                  <c:v>0.25</c:v>
                </c:pt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5A-412E-B5F8-C44F337F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932133"/>
        <c:axId val="240567868"/>
      </c:lineChart>
      <c:catAx>
        <c:axId val="763061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3380689"/>
        <c:crosses val="autoZero"/>
        <c:auto val="1"/>
        <c:lblAlgn val="ctr"/>
        <c:lblOffset val="100"/>
        <c:noMultiLvlLbl val="1"/>
      </c:catAx>
      <c:valAx>
        <c:axId val="1653380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3061073"/>
        <c:crosses val="autoZero"/>
        <c:crossBetween val="between"/>
      </c:valAx>
      <c:catAx>
        <c:axId val="144993213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0567868"/>
        <c:crosses val="autoZero"/>
        <c:auto val="1"/>
        <c:lblAlgn val="ctr"/>
        <c:lblOffset val="100"/>
        <c:noMultiLvlLbl val="1"/>
      </c:catAx>
      <c:valAx>
        <c:axId val="2405678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9932133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4.2644856770833406E-2"/>
          <c:y val="0.1264600179694519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1</xdr:row>
      <xdr:rowOff>38100</xdr:rowOff>
    </xdr:from>
    <xdr:ext cx="11430000" cy="52673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1ACDEC56-2FD1-45E7-BD20-E67725967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866775</xdr:colOff>
      <xdr:row>47</xdr:row>
      <xdr:rowOff>0</xdr:rowOff>
    </xdr:from>
    <xdr:ext cx="5715000" cy="3533775"/>
    <xdr:pic>
      <xdr:nvPicPr>
        <xdr:cNvPr id="3" name="Chart2" title="Chart">
          <a:extLst>
            <a:ext uri="{FF2B5EF4-FFF2-40B4-BE49-F238E27FC236}">
              <a16:creationId xmlns:a16="http://schemas.microsoft.com/office/drawing/2014/main" id="{C79874D3-FCAE-45AA-BA4D-808563C6B52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329035" y="1084326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733425</xdr:colOff>
      <xdr:row>47</xdr:row>
      <xdr:rowOff>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2AD9C51C-CBE3-4FFA-BA22-14D2F31E4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809625</xdr:colOff>
      <xdr:row>47</xdr:row>
      <xdr:rowOff>0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AF0E7D63-A364-4B40-82E4-2BB199DFC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%20Data\Downloads\DAVID%20Project%20-%20Adoption%20Rate%20and%20Success%20Rate.xlsx" TargetMode="External"/><Relationship Id="rId1" Type="http://schemas.openxmlformats.org/officeDocument/2006/relationships/externalLinkPath" Target="DAVID%20Project%20-%20Adoption%20Rate%20and%20Success%20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on Items"/>
      <sheetName val="Adoption  Success Rate"/>
      <sheetName val="Adoption Rate (detailed)"/>
      <sheetName val="Solution-to-Service"/>
      <sheetName val="Week 33 Tickets"/>
      <sheetName val="DAVID Works"/>
      <sheetName val="DAVID Deployment Status"/>
      <sheetName val="A-Team"/>
      <sheetName val="POS &gt; BOM Connection"/>
      <sheetName val="BOM Uploading"/>
      <sheetName val="NN Ops Team"/>
      <sheetName val="Sheet117"/>
      <sheetName val="DAVID Value"/>
      <sheetName val="BOM Status"/>
      <sheetName val="DAVID Adoption Strategy"/>
      <sheetName val="Sales Mix Dashboard Validation"/>
      <sheetName val="DAVID vs Manual"/>
      <sheetName val="DAVID Approval Matrix"/>
      <sheetName val="DAVID Deployment Schedule"/>
      <sheetName val="Ordering Calendar Incident"/>
      <sheetName val="Dashboard vs Mancom"/>
      <sheetName val="UPM Training"/>
      <sheetName val="DAVID Order Qty Calculator"/>
      <sheetName val="Order Calculator - for DAVID"/>
      <sheetName val="TAS Login"/>
      <sheetName val="DAVID MEC Process"/>
      <sheetName val="Delivery Schedules"/>
      <sheetName val="Current DAVID Active Users"/>
      <sheetName val="Copy of Order Calculator (DSP P"/>
      <sheetName val="Order Calculator"/>
      <sheetName val="Ordering Process"/>
      <sheetName val="Data Matching"/>
      <sheetName val="Sheet86"/>
      <sheetName val="Level of Support"/>
      <sheetName val="Sheet84"/>
      <sheetName val="Sheet83"/>
      <sheetName val="Roll-Out Plan"/>
      <sheetName val="DSP Assignment (ao Nov12)"/>
      <sheetName val="Approval Matrix"/>
      <sheetName val="Effort-Impact Matrixc (Phase 1)"/>
      <sheetName val="Basic and Add-on Features (Phas"/>
      <sheetName val="DAVID System"/>
      <sheetName val="3rd &amp; 4th Batch System Testing"/>
      <sheetName val="V1 System Testing"/>
      <sheetName val="V2 System Testing"/>
      <sheetName val="DAVID Levels of Support"/>
      <sheetName val="CT Activities"/>
      <sheetName val="Cost and Qty Variance Report"/>
      <sheetName val="COGS and Wastage Report"/>
      <sheetName val="DAVID Dev Tickets"/>
      <sheetName val="For Dev adjusments (before Batc"/>
      <sheetName val="Batch 3 Testing Pre-Work"/>
      <sheetName val="Test Scenarios (Batch 2)"/>
      <sheetName val="Test Scenarios (Batch 1)"/>
      <sheetName val="Sheet54"/>
      <sheetName val="Sheet53"/>
      <sheetName val="Mgt Formula"/>
      <sheetName val="Sample BOM"/>
      <sheetName val="System Walkthrough Concerns 125"/>
      <sheetName val="User Feedback 1132025"/>
      <sheetName val="UAT file comments"/>
      <sheetName val="Training Dates"/>
      <sheetName val="System Map"/>
      <sheetName val="Success Measures"/>
      <sheetName val="Parameters"/>
      <sheetName val="Concern Logs"/>
      <sheetName val="User Access"/>
      <sheetName val="Gantt Chart"/>
      <sheetName val="Milestone Summary"/>
      <sheetName val="Copy of User Access"/>
      <sheetName val="List of Stores"/>
      <sheetName val="SAP"/>
      <sheetName val="POS"/>
      <sheetName val="Plan"/>
      <sheetName val="Credentials Database"/>
      <sheetName val="Milestone - Dev"/>
      <sheetName val="GSI OT - Bakery"/>
      <sheetName val="GSI OT - PR"/>
      <sheetName val="PUL OT - DG"/>
      <sheetName val="Project Timeline"/>
      <sheetName val="relationaldb"/>
      <sheetName val="Sheet7"/>
      <sheetName val="FR Process"/>
      <sheetName val="Store Inventory Process"/>
      <sheetName val="Project Mgt"/>
      <sheetName val="System Name Contest Rubric"/>
      <sheetName val="Technical Infrastructure Requir"/>
      <sheetName val="FIN Dashboard "/>
      <sheetName val="Sample Dashboard"/>
      <sheetName val="Naming Convention"/>
      <sheetName val="Files Cleanup Concerns  Arrange"/>
      <sheetName val="NNABA DR 1046693"/>
      <sheetName val="NNABA SO 1049875"/>
      <sheetName val="NNABA Sales Report"/>
      <sheetName val="Sample UoM Conversion"/>
      <sheetName val="Files Cleanup Status"/>
      <sheetName val="NN Sales vs Food Costing"/>
      <sheetName val="Ordering to Sales Cycle"/>
      <sheetName val="Timeline"/>
      <sheetName val="Macro Gantt (for PPT)"/>
      <sheetName val="Action Plan"/>
      <sheetName val="Success and Adaption Rate"/>
      <sheetName val="For Dev Testing (OT Update)"/>
      <sheetName val="System Requirements Status per "/>
      <sheetName val="System Requirements - Timeline"/>
      <sheetName val="Store Immersion Plan"/>
      <sheetName val="Inventory Movement Report"/>
      <sheetName val="Checklist (from Chef Sam)"/>
      <sheetName val="Revised Macro Timeline for Jan "/>
      <sheetName val="Macro Timeline for Jan Go-Live "/>
      <sheetName val="Sheet128"/>
      <sheetName val="(DMO) System Requirements - Tim"/>
      <sheetName val="DAVID UI Concerns"/>
      <sheetName val="Features for next phase (TBD)"/>
      <sheetName val="CPO 2026 - DAVID Documentation"/>
      <sheetName val="Copy of CPO 2026 - DAVID Docume"/>
      <sheetName val="Tickets"/>
      <sheetName val="CPO May 2026"/>
    </sheetNames>
    <sheetDataSet>
      <sheetData sheetId="0" refreshError="1"/>
      <sheetData sheetId="1">
        <row r="21">
          <cell r="W21" t="str">
            <v>Ticket Type</v>
          </cell>
          <cell r="AD21">
            <v>0.66335929108485525</v>
          </cell>
        </row>
        <row r="22">
          <cell r="W22" t="str">
            <v>Module Concerns</v>
          </cell>
          <cell r="X22" t="str">
            <v>Technical Concerns</v>
          </cell>
          <cell r="Y22" t="str">
            <v>Total Tickets</v>
          </cell>
          <cell r="Z22" t="str">
            <v>Total Closed</v>
          </cell>
          <cell r="AA22" t="str">
            <v>Total Open</v>
          </cell>
          <cell r="AC22" t="str">
            <v>Success Rate
1 - (total tickets / total transactions)</v>
          </cell>
          <cell r="AD22" t="str">
            <v>Close Rate
(total closed / total tickets)</v>
          </cell>
          <cell r="AE22" t="str">
            <v>Adoption Rate
(David defined rate)</v>
          </cell>
        </row>
        <row r="23">
          <cell r="B23" t="str">
            <v>Week 19</v>
          </cell>
          <cell r="W23">
            <v>4</v>
          </cell>
          <cell r="X23">
            <v>2</v>
          </cell>
          <cell r="Y23">
            <v>6</v>
          </cell>
          <cell r="Z23">
            <v>2</v>
          </cell>
          <cell r="AA23">
            <v>4</v>
          </cell>
          <cell r="AC23">
            <v>0.97986577181208057</v>
          </cell>
          <cell r="AD23">
            <v>0.33333333333333331</v>
          </cell>
          <cell r="AE23">
            <v>0.51200000000000001</v>
          </cell>
        </row>
        <row r="24">
          <cell r="B24" t="str">
            <v>Week 20</v>
          </cell>
          <cell r="W24">
            <v>5</v>
          </cell>
          <cell r="X24">
            <v>0</v>
          </cell>
          <cell r="Y24">
            <v>5</v>
          </cell>
          <cell r="Z24">
            <v>4</v>
          </cell>
          <cell r="AA24">
            <v>1</v>
          </cell>
          <cell r="AC24">
            <v>0.98753117206982544</v>
          </cell>
          <cell r="AD24">
            <v>0.8</v>
          </cell>
          <cell r="AE24">
            <v>0.49199999999999999</v>
          </cell>
        </row>
        <row r="25">
          <cell r="B25" t="str">
            <v>Week 21</v>
          </cell>
          <cell r="W25">
            <v>1</v>
          </cell>
          <cell r="X25">
            <v>0</v>
          </cell>
          <cell r="Y25">
            <v>1</v>
          </cell>
          <cell r="Z25">
            <v>0</v>
          </cell>
          <cell r="AA25">
            <v>1</v>
          </cell>
          <cell r="AC25">
            <v>0.99715909090909094</v>
          </cell>
          <cell r="AD25">
            <v>0</v>
          </cell>
          <cell r="AE25">
            <v>0.54800000000000004</v>
          </cell>
        </row>
        <row r="26">
          <cell r="B26" t="str">
            <v>Week 22</v>
          </cell>
          <cell r="W26">
            <v>4</v>
          </cell>
          <cell r="X26">
            <v>1</v>
          </cell>
          <cell r="Y26">
            <v>5</v>
          </cell>
          <cell r="Z26">
            <v>4</v>
          </cell>
          <cell r="AA26">
            <v>1</v>
          </cell>
          <cell r="AC26">
            <v>0.97716894977168955</v>
          </cell>
          <cell r="AD26">
            <v>0.8</v>
          </cell>
          <cell r="AE26">
            <v>0.52300000000000002</v>
          </cell>
        </row>
        <row r="27">
          <cell r="B27" t="str">
            <v>Week 23</v>
          </cell>
          <cell r="W27">
            <v>5</v>
          </cell>
          <cell r="X27">
            <v>1</v>
          </cell>
          <cell r="Y27">
            <v>6</v>
          </cell>
          <cell r="Z27">
            <v>6</v>
          </cell>
          <cell r="AA27">
            <v>0</v>
          </cell>
          <cell r="AC27">
            <v>0.98270893371757928</v>
          </cell>
          <cell r="AD27">
            <v>1</v>
          </cell>
          <cell r="AE27">
            <v>0.48899999999999999</v>
          </cell>
        </row>
        <row r="28">
          <cell r="B28" t="str">
            <v>Week 24</v>
          </cell>
          <cell r="W28">
            <v>2</v>
          </cell>
          <cell r="X28">
            <v>0</v>
          </cell>
          <cell r="Y28">
            <v>2</v>
          </cell>
          <cell r="Z28">
            <v>1</v>
          </cell>
          <cell r="AA28">
            <v>1</v>
          </cell>
          <cell r="AC28">
            <v>0.99404761904761907</v>
          </cell>
          <cell r="AD28">
            <v>0.5</v>
          </cell>
          <cell r="AE28">
            <v>0.48499999999999999</v>
          </cell>
        </row>
        <row r="29">
          <cell r="B29" t="str">
            <v>Week 25</v>
          </cell>
          <cell r="W29">
            <v>1</v>
          </cell>
          <cell r="X29">
            <v>0</v>
          </cell>
          <cell r="Y29">
            <v>1</v>
          </cell>
          <cell r="Z29">
            <v>1</v>
          </cell>
          <cell r="AA29">
            <v>0</v>
          </cell>
          <cell r="AC29">
            <v>0.99674267100977199</v>
          </cell>
          <cell r="AD29">
            <v>1</v>
          </cell>
          <cell r="AE29">
            <v>0.39100000000000001</v>
          </cell>
        </row>
        <row r="30">
          <cell r="B30" t="str">
            <v>Week 26</v>
          </cell>
          <cell r="W30">
            <v>1</v>
          </cell>
          <cell r="X30">
            <v>0</v>
          </cell>
          <cell r="Y30">
            <v>1</v>
          </cell>
          <cell r="Z30">
            <v>1</v>
          </cell>
          <cell r="AA30">
            <v>0</v>
          </cell>
          <cell r="AC30">
            <v>0.99677419354838714</v>
          </cell>
          <cell r="AD30">
            <v>1</v>
          </cell>
          <cell r="AE30">
            <v>0.36799999999999999</v>
          </cell>
        </row>
        <row r="31">
          <cell r="B31" t="str">
            <v>Week 27</v>
          </cell>
          <cell r="W31">
            <v>4</v>
          </cell>
          <cell r="X31">
            <v>0</v>
          </cell>
          <cell r="Y31">
            <v>4</v>
          </cell>
          <cell r="Z31">
            <v>4</v>
          </cell>
          <cell r="AA31">
            <v>0</v>
          </cell>
          <cell r="AC31">
            <v>0.99007444168734493</v>
          </cell>
          <cell r="AD31">
            <v>1</v>
          </cell>
          <cell r="AE31">
            <v>0.51900000000000002</v>
          </cell>
        </row>
        <row r="32">
          <cell r="B32" t="str">
            <v>Week 28</v>
          </cell>
          <cell r="W32">
            <v>3</v>
          </cell>
          <cell r="X32">
            <v>0</v>
          </cell>
          <cell r="Y32">
            <v>3</v>
          </cell>
          <cell r="Z32">
            <v>2</v>
          </cell>
          <cell r="AA32">
            <v>1</v>
          </cell>
          <cell r="AC32">
            <v>0.99383983572895274</v>
          </cell>
          <cell r="AD32">
            <v>0.66666666666666663</v>
          </cell>
          <cell r="AE32">
            <v>0.53800000000000003</v>
          </cell>
        </row>
        <row r="33">
          <cell r="B33" t="str">
            <v>Week 29</v>
          </cell>
          <cell r="W33">
            <v>7</v>
          </cell>
          <cell r="X33">
            <v>1</v>
          </cell>
          <cell r="Y33">
            <v>8</v>
          </cell>
          <cell r="Z33">
            <v>7</v>
          </cell>
          <cell r="AA33">
            <v>1</v>
          </cell>
          <cell r="AC33">
            <v>0.98360655737704916</v>
          </cell>
          <cell r="AD33">
            <v>0.875</v>
          </cell>
          <cell r="AE33">
            <v>0.58099999999999996</v>
          </cell>
        </row>
        <row r="34">
          <cell r="B34" t="str">
            <v>Week 30</v>
          </cell>
          <cell r="W34">
            <v>4</v>
          </cell>
          <cell r="X34">
            <v>0</v>
          </cell>
          <cell r="Y34">
            <v>4</v>
          </cell>
          <cell r="Z34">
            <v>2</v>
          </cell>
          <cell r="AA34">
            <v>2</v>
          </cell>
          <cell r="AC34">
            <v>0.9887640449438202</v>
          </cell>
          <cell r="AD34">
            <v>0.5</v>
          </cell>
          <cell r="AE34">
            <v>0.627</v>
          </cell>
        </row>
        <row r="35">
          <cell r="B35" t="str">
            <v>Week 31</v>
          </cell>
          <cell r="W35">
            <v>17</v>
          </cell>
          <cell r="X35">
            <v>2</v>
          </cell>
          <cell r="Y35">
            <v>19</v>
          </cell>
          <cell r="Z35">
            <v>10</v>
          </cell>
          <cell r="AA35">
            <v>9</v>
          </cell>
          <cell r="AC35">
            <v>0.96960000000000002</v>
          </cell>
          <cell r="AD35">
            <v>0.52631578947368418</v>
          </cell>
          <cell r="AE35">
            <v>0.69499999999999995</v>
          </cell>
        </row>
        <row r="36">
          <cell r="B36" t="str">
            <v>Week 32</v>
          </cell>
          <cell r="W36">
            <v>6</v>
          </cell>
          <cell r="X36">
            <v>1</v>
          </cell>
          <cell r="Y36">
            <v>7</v>
          </cell>
          <cell r="Z36">
            <v>2</v>
          </cell>
          <cell r="AA36">
            <v>5</v>
          </cell>
          <cell r="AC36">
            <v>0.99081364829396323</v>
          </cell>
          <cell r="AD36">
            <v>0.2857142857142857</v>
          </cell>
          <cell r="AE36">
            <v>0.65900000000000003</v>
          </cell>
        </row>
        <row r="37">
          <cell r="B37" t="str">
            <v>Week 33</v>
          </cell>
          <cell r="W37">
            <v>11</v>
          </cell>
          <cell r="X37">
            <v>3</v>
          </cell>
          <cell r="Y37">
            <v>14</v>
          </cell>
          <cell r="Z37">
            <v>4</v>
          </cell>
          <cell r="AA37">
            <v>10</v>
          </cell>
          <cell r="AC37">
            <v>0.97901049475262369</v>
          </cell>
          <cell r="AD37">
            <v>0.2857142857142857</v>
          </cell>
          <cell r="AE37">
            <v>0.64300000000000002</v>
          </cell>
        </row>
        <row r="38">
          <cell r="B38" t="str">
            <v>Week 34</v>
          </cell>
          <cell r="W38">
            <v>10</v>
          </cell>
          <cell r="X38">
            <v>0</v>
          </cell>
          <cell r="Y38">
            <v>10</v>
          </cell>
          <cell r="Z38">
            <v>5</v>
          </cell>
          <cell r="AA38">
            <v>5</v>
          </cell>
          <cell r="AD38">
            <v>0.5</v>
          </cell>
          <cell r="AE38">
            <v>0.63</v>
          </cell>
        </row>
        <row r="39">
          <cell r="B39" t="str">
            <v>Week 35</v>
          </cell>
          <cell r="W39">
            <v>8</v>
          </cell>
          <cell r="X39">
            <v>0</v>
          </cell>
          <cell r="Y39">
            <v>8</v>
          </cell>
          <cell r="Z39">
            <v>2</v>
          </cell>
          <cell r="AA39">
            <v>6</v>
          </cell>
          <cell r="AD39">
            <v>0.25</v>
          </cell>
          <cell r="AE39">
            <v>0.7</v>
          </cell>
        </row>
        <row r="40">
          <cell r="B40" t="str">
            <v>Week 36</v>
          </cell>
          <cell r="W40">
            <v>12</v>
          </cell>
          <cell r="X40">
            <v>0</v>
          </cell>
          <cell r="Y40">
            <v>12</v>
          </cell>
          <cell r="Z40">
            <v>3</v>
          </cell>
          <cell r="AA40">
            <v>9</v>
          </cell>
          <cell r="AD40">
            <v>0.25</v>
          </cell>
          <cell r="AE40">
            <v>0.61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E97F-8EBE-4939-9B71-555659F0D064}">
  <sheetPr>
    <outlinePr summaryBelow="0" summaryRight="0"/>
  </sheetPr>
  <dimension ref="A10:AQ61"/>
  <sheetViews>
    <sheetView showGridLines="0" tabSelected="1" topLeftCell="A2" workbookViewId="0">
      <pane xSplit="2" topLeftCell="C1" activePane="topRight" state="frozen"/>
      <selection pane="topRight" activeCell="W19" sqref="W19"/>
    </sheetView>
  </sheetViews>
  <sheetFormatPr defaultColWidth="12.6640625" defaultRowHeight="15.75" customHeight="1" x14ac:dyDescent="0.25"/>
  <cols>
    <col min="1" max="1" width="13.21875" customWidth="1"/>
    <col min="15" max="15" width="12.33203125" customWidth="1"/>
    <col min="25" max="27" width="14" customWidth="1"/>
    <col min="28" max="28" width="17.109375" customWidth="1"/>
    <col min="29" max="29" width="27.33203125" customWidth="1"/>
    <col min="30" max="30" width="27" customWidth="1"/>
    <col min="31" max="31" width="27" bestFit="1" customWidth="1"/>
  </cols>
  <sheetData>
    <row r="10" ht="171" customHeight="1" x14ac:dyDescent="0.25"/>
    <row r="19" spans="1:31" ht="13.2" x14ac:dyDescent="0.25">
      <c r="W19" s="1">
        <f>W20/SUM(W20:X20)</f>
        <v>0.88888888888888884</v>
      </c>
      <c r="X19" s="1">
        <f>X20/SUM(W20:X20)</f>
        <v>0.1111111111111111</v>
      </c>
    </row>
    <row r="20" spans="1:31" ht="13.2" x14ac:dyDescent="0.25">
      <c r="C20" s="2" t="s">
        <v>0</v>
      </c>
      <c r="D20" s="3"/>
      <c r="E20" s="4" t="s">
        <v>1</v>
      </c>
      <c r="F20" s="2" t="s">
        <v>0</v>
      </c>
      <c r="G20" s="3"/>
      <c r="H20" s="4" t="s">
        <v>1</v>
      </c>
      <c r="I20" s="2" t="s">
        <v>0</v>
      </c>
      <c r="J20" s="3"/>
      <c r="K20" s="4" t="s">
        <v>1</v>
      </c>
      <c r="L20" s="2" t="s">
        <v>0</v>
      </c>
      <c r="M20" s="3"/>
      <c r="N20" s="4" t="s">
        <v>1</v>
      </c>
      <c r="O20" s="2" t="s">
        <v>0</v>
      </c>
      <c r="P20" s="3"/>
      <c r="Q20" s="4" t="s">
        <v>1</v>
      </c>
      <c r="R20" s="2" t="s">
        <v>0</v>
      </c>
      <c r="S20" s="3"/>
      <c r="T20" s="4" t="s">
        <v>1</v>
      </c>
      <c r="U20" s="2" t="s">
        <v>0</v>
      </c>
      <c r="V20" s="3"/>
      <c r="W20" s="5">
        <f t="shared" ref="W20:X20" si="0">SUM(W23:W36)</f>
        <v>64</v>
      </c>
      <c r="X20" s="5">
        <f t="shared" si="0"/>
        <v>8</v>
      </c>
      <c r="AC20" s="6" t="s">
        <v>2</v>
      </c>
      <c r="AD20" s="6" t="s">
        <v>3</v>
      </c>
      <c r="AE20" s="6" t="s">
        <v>4</v>
      </c>
    </row>
    <row r="21" spans="1:31" ht="13.2" x14ac:dyDescent="0.25">
      <c r="A21" s="7" t="s">
        <v>5</v>
      </c>
      <c r="B21" s="7" t="s">
        <v>6</v>
      </c>
      <c r="C21" s="8" t="s">
        <v>7</v>
      </c>
      <c r="D21" s="8" t="s">
        <v>8</v>
      </c>
      <c r="E21" s="8" t="s">
        <v>9</v>
      </c>
      <c r="F21" s="8" t="s">
        <v>7</v>
      </c>
      <c r="G21" s="8" t="s">
        <v>8</v>
      </c>
      <c r="H21" s="8" t="s">
        <v>9</v>
      </c>
      <c r="I21" s="8" t="s">
        <v>7</v>
      </c>
      <c r="J21" s="8" t="s">
        <v>8</v>
      </c>
      <c r="K21" s="8" t="s">
        <v>9</v>
      </c>
      <c r="L21" s="8" t="s">
        <v>7</v>
      </c>
      <c r="M21" s="8" t="s">
        <v>8</v>
      </c>
      <c r="N21" s="8" t="s">
        <v>9</v>
      </c>
      <c r="O21" s="8" t="s">
        <v>7</v>
      </c>
      <c r="P21" s="8" t="s">
        <v>8</v>
      </c>
      <c r="Q21" s="8" t="s">
        <v>9</v>
      </c>
      <c r="R21" s="8" t="s">
        <v>7</v>
      </c>
      <c r="S21" s="8" t="s">
        <v>8</v>
      </c>
      <c r="T21" s="8" t="s">
        <v>9</v>
      </c>
      <c r="U21" s="8" t="s">
        <v>7</v>
      </c>
      <c r="V21" s="8" t="s">
        <v>8</v>
      </c>
      <c r="W21" s="9" t="s">
        <v>10</v>
      </c>
      <c r="X21" s="10"/>
      <c r="Y21" s="11"/>
      <c r="Z21" s="11"/>
      <c r="AA21" s="11"/>
      <c r="AB21" s="11"/>
      <c r="AC21" s="12">
        <f t="shared" ref="AC21:AE21" si="1">AVERAGE(AC23:AC36)</f>
        <v>0.98776406642265535</v>
      </c>
      <c r="AD21" s="12">
        <f t="shared" si="1"/>
        <v>0.66335929108485525</v>
      </c>
      <c r="AE21" s="12">
        <f t="shared" si="1"/>
        <v>0.53049999999999997</v>
      </c>
    </row>
    <row r="22" spans="1:31" ht="26.4" x14ac:dyDescent="0.25">
      <c r="A22" s="13"/>
      <c r="B22" s="13"/>
      <c r="C22" s="14" t="s">
        <v>11</v>
      </c>
      <c r="D22" s="15"/>
      <c r="E22" s="3"/>
      <c r="F22" s="14" t="s">
        <v>12</v>
      </c>
      <c r="G22" s="15"/>
      <c r="H22" s="3"/>
      <c r="I22" s="14" t="s">
        <v>13</v>
      </c>
      <c r="J22" s="15"/>
      <c r="K22" s="3"/>
      <c r="L22" s="14" t="s">
        <v>14</v>
      </c>
      <c r="M22" s="15"/>
      <c r="N22" s="3"/>
      <c r="O22" s="14" t="s">
        <v>15</v>
      </c>
      <c r="P22" s="15"/>
      <c r="Q22" s="3"/>
      <c r="R22" s="14" t="s">
        <v>16</v>
      </c>
      <c r="S22" s="15"/>
      <c r="T22" s="3"/>
      <c r="U22" s="14" t="s">
        <v>17</v>
      </c>
      <c r="V22" s="3"/>
      <c r="W22" s="8" t="s">
        <v>18</v>
      </c>
      <c r="X22" s="8" t="s">
        <v>19</v>
      </c>
      <c r="Y22" s="16" t="s">
        <v>20</v>
      </c>
      <c r="Z22" s="16" t="s">
        <v>21</v>
      </c>
      <c r="AA22" s="16" t="s">
        <v>22</v>
      </c>
      <c r="AB22" s="16" t="s">
        <v>23</v>
      </c>
      <c r="AC22" s="17" t="s">
        <v>24</v>
      </c>
      <c r="AD22" s="17" t="s">
        <v>25</v>
      </c>
      <c r="AE22" s="17" t="s">
        <v>26</v>
      </c>
    </row>
    <row r="23" spans="1:31" ht="13.2" x14ac:dyDescent="0.25">
      <c r="A23" s="18" t="str">
        <f ca="1">IFERROR(__xludf.DUMMYFUNCTION("LET(
  wk, VALUE(REGEXEXTRACT(B23, ""\d+"")),
  mon, DATE(2026, 1, 1) - WEEKDAY(DATE(2026, 1, 1), 3) + (wk - 1) * 7,
  sun, mon + 6,
  TEXT(mon, ""mmm d"") &amp; ""-"" &amp; TEXT(sun, ""mmm d"")
)"),"May 4-May 10")</f>
        <v>May 4-May 10</v>
      </c>
      <c r="B23" s="18" t="s">
        <v>27</v>
      </c>
      <c r="C23" s="18">
        <v>0</v>
      </c>
      <c r="D23" s="18">
        <v>0</v>
      </c>
      <c r="E23" s="18">
        <v>49</v>
      </c>
      <c r="F23" s="18">
        <v>0</v>
      </c>
      <c r="G23" s="18">
        <v>0</v>
      </c>
      <c r="H23" s="18">
        <v>22</v>
      </c>
      <c r="I23" s="18">
        <v>0</v>
      </c>
      <c r="J23" s="18">
        <v>0</v>
      </c>
      <c r="K23" s="18">
        <v>43</v>
      </c>
      <c r="L23" s="18">
        <v>2</v>
      </c>
      <c r="M23" s="18">
        <v>0</v>
      </c>
      <c r="N23" s="18">
        <v>135</v>
      </c>
      <c r="O23" s="18">
        <v>2</v>
      </c>
      <c r="P23" s="18">
        <v>2</v>
      </c>
      <c r="Q23" s="18"/>
      <c r="R23" s="18">
        <v>0</v>
      </c>
      <c r="S23" s="18">
        <v>0</v>
      </c>
      <c r="T23" s="18">
        <v>49</v>
      </c>
      <c r="U23" s="18">
        <v>2</v>
      </c>
      <c r="V23" s="18">
        <v>0</v>
      </c>
      <c r="W23" s="18">
        <f t="shared" ref="W23:W40" si="2">SUM(C23+F23+I23+L23+O23+R23)</f>
        <v>4</v>
      </c>
      <c r="X23" s="18">
        <f t="shared" ref="X23:X40" si="3">U23</f>
        <v>2</v>
      </c>
      <c r="Y23" s="18">
        <f t="shared" ref="Y23:Y40" si="4">W23+X23</f>
        <v>6</v>
      </c>
      <c r="Z23" s="18">
        <f t="shared" ref="Z23:Z40" si="5">D23+S23+P23+M23+J23+G23+V23</f>
        <v>2</v>
      </c>
      <c r="AA23" s="18">
        <f t="shared" ref="AA23:AA40" si="6">Y23-Z23</f>
        <v>4</v>
      </c>
      <c r="AB23" s="18">
        <f t="shared" ref="AB23:AB40" si="7">E23+T23+Q23+N23+K23+H23</f>
        <v>298</v>
      </c>
      <c r="AC23" s="19">
        <f t="shared" ref="AC23:AC40" si="8">IFERROR(1-(Y23/AB23),"")</f>
        <v>0.97986577181208057</v>
      </c>
      <c r="AD23" s="19">
        <f t="shared" ref="AD23:AD40" si="9">IFERROR((Z23/Y23),"")</f>
        <v>0.33333333333333331</v>
      </c>
      <c r="AE23" s="19">
        <v>0.51200000000000001</v>
      </c>
    </row>
    <row r="24" spans="1:31" ht="13.2" x14ac:dyDescent="0.25">
      <c r="A24" s="18" t="str">
        <f ca="1">IFERROR(__xludf.DUMMYFUNCTION("LET(
  wk, VALUE(REGEXEXTRACT(B24, ""\d+"")),
  mon, DATE(2026, 1, 1) - WEEKDAY(DATE(2026, 1, 1), 3) + (wk - 1) * 7,
  sun, mon + 6,
  TEXT(mon, ""mmm d"") &amp; ""-"" &amp; TEXT(sun, ""mmm d"")
)"),"May 11-May 17")</f>
        <v>May 11-May 17</v>
      </c>
      <c r="B24" s="18" t="s">
        <v>28</v>
      </c>
      <c r="C24" s="18">
        <v>3</v>
      </c>
      <c r="D24" s="18">
        <v>3</v>
      </c>
      <c r="E24" s="18">
        <v>49</v>
      </c>
      <c r="F24" s="18">
        <v>0</v>
      </c>
      <c r="G24" s="18">
        <v>0</v>
      </c>
      <c r="H24" s="18">
        <v>21</v>
      </c>
      <c r="I24" s="18">
        <v>1</v>
      </c>
      <c r="J24" s="18">
        <v>1</v>
      </c>
      <c r="K24" s="18">
        <v>42</v>
      </c>
      <c r="L24" s="18">
        <v>1</v>
      </c>
      <c r="M24" s="18">
        <v>0</v>
      </c>
      <c r="N24" s="18">
        <v>240</v>
      </c>
      <c r="O24" s="18">
        <v>0</v>
      </c>
      <c r="P24" s="18">
        <v>0</v>
      </c>
      <c r="Q24" s="18"/>
      <c r="R24" s="18">
        <v>0</v>
      </c>
      <c r="S24" s="18">
        <v>0</v>
      </c>
      <c r="T24" s="18">
        <v>49</v>
      </c>
      <c r="U24" s="18">
        <v>0</v>
      </c>
      <c r="V24" s="18">
        <v>0</v>
      </c>
      <c r="W24" s="18">
        <f t="shared" si="2"/>
        <v>5</v>
      </c>
      <c r="X24" s="18">
        <f t="shared" si="3"/>
        <v>0</v>
      </c>
      <c r="Y24" s="18">
        <f t="shared" si="4"/>
        <v>5</v>
      </c>
      <c r="Z24" s="18">
        <f t="shared" si="5"/>
        <v>4</v>
      </c>
      <c r="AA24" s="18">
        <f t="shared" si="6"/>
        <v>1</v>
      </c>
      <c r="AB24" s="18">
        <f t="shared" si="7"/>
        <v>401</v>
      </c>
      <c r="AC24" s="19">
        <f t="shared" si="8"/>
        <v>0.98753117206982544</v>
      </c>
      <c r="AD24" s="19">
        <f t="shared" si="9"/>
        <v>0.8</v>
      </c>
      <c r="AE24" s="19">
        <v>0.49199999999999999</v>
      </c>
    </row>
    <row r="25" spans="1:31" ht="13.2" x14ac:dyDescent="0.25">
      <c r="A25" s="18" t="str">
        <f ca="1">IFERROR(__xludf.DUMMYFUNCTION("LET(
  wk, VALUE(REGEXEXTRACT(B25, ""\d+"")),
  mon, DATE(2026, 1, 1) - WEEKDAY(DATE(2026, 1, 1), 3) + (wk - 1) * 7,
  sun, mon + 6,
  TEXT(mon, ""mmm d"") &amp; ""-"" &amp; TEXT(sun, ""mmm d"")
)"),"May 18-May 24")</f>
        <v>May 18-May 24</v>
      </c>
      <c r="B25" s="18" t="s">
        <v>29</v>
      </c>
      <c r="C25" s="18">
        <v>1</v>
      </c>
      <c r="D25" s="18">
        <v>0</v>
      </c>
      <c r="E25" s="18">
        <v>49</v>
      </c>
      <c r="F25" s="18">
        <v>0</v>
      </c>
      <c r="G25" s="18">
        <v>0</v>
      </c>
      <c r="H25" s="18">
        <v>21</v>
      </c>
      <c r="I25" s="18">
        <v>0</v>
      </c>
      <c r="J25" s="18">
        <v>0</v>
      </c>
      <c r="K25" s="18">
        <v>42</v>
      </c>
      <c r="L25" s="18">
        <v>0</v>
      </c>
      <c r="M25" s="18">
        <v>0</v>
      </c>
      <c r="N25" s="18">
        <v>191</v>
      </c>
      <c r="O25" s="18">
        <v>0</v>
      </c>
      <c r="P25" s="18">
        <v>0</v>
      </c>
      <c r="Q25" s="18"/>
      <c r="R25" s="18">
        <v>0</v>
      </c>
      <c r="S25" s="18">
        <v>0</v>
      </c>
      <c r="T25" s="18">
        <v>49</v>
      </c>
      <c r="U25" s="18">
        <v>0</v>
      </c>
      <c r="V25" s="18">
        <v>0</v>
      </c>
      <c r="W25" s="18">
        <f t="shared" si="2"/>
        <v>1</v>
      </c>
      <c r="X25" s="18">
        <f t="shared" si="3"/>
        <v>0</v>
      </c>
      <c r="Y25" s="18">
        <f t="shared" si="4"/>
        <v>1</v>
      </c>
      <c r="Z25" s="18">
        <f t="shared" si="5"/>
        <v>0</v>
      </c>
      <c r="AA25" s="18">
        <f t="shared" si="6"/>
        <v>1</v>
      </c>
      <c r="AB25" s="18">
        <f t="shared" si="7"/>
        <v>352</v>
      </c>
      <c r="AC25" s="19">
        <f t="shared" si="8"/>
        <v>0.99715909090909094</v>
      </c>
      <c r="AD25" s="19">
        <f t="shared" si="9"/>
        <v>0</v>
      </c>
      <c r="AE25" s="19">
        <v>0.54800000000000004</v>
      </c>
    </row>
    <row r="26" spans="1:31" ht="13.2" x14ac:dyDescent="0.25">
      <c r="A26" s="18" t="str">
        <f ca="1">IFERROR(__xludf.DUMMYFUNCTION("LET(
  wk, VALUE(REGEXEXTRACT(B26, ""\d+"")),
  mon, DATE(2026, 1, 1) - WEEKDAY(DATE(2026, 1, 1), 3) + (wk - 1) * 7,
  sun, mon + 6,
  TEXT(mon, ""mmm d"") &amp; ""-"" &amp; TEXT(sun, ""mmm d"")
)"),"May 25-May 31")</f>
        <v>May 25-May 31</v>
      </c>
      <c r="B26" s="18" t="s">
        <v>30</v>
      </c>
      <c r="C26" s="18">
        <v>1</v>
      </c>
      <c r="D26" s="18">
        <v>1</v>
      </c>
      <c r="E26" s="18">
        <v>49</v>
      </c>
      <c r="F26" s="18">
        <v>1</v>
      </c>
      <c r="G26" s="18">
        <v>0</v>
      </c>
      <c r="H26" s="18">
        <v>20</v>
      </c>
      <c r="I26" s="18">
        <v>1</v>
      </c>
      <c r="J26" s="18">
        <v>1</v>
      </c>
      <c r="K26" s="18">
        <v>41</v>
      </c>
      <c r="L26" s="18">
        <v>0</v>
      </c>
      <c r="M26" s="18">
        <v>0</v>
      </c>
      <c r="N26" s="18">
        <v>60</v>
      </c>
      <c r="O26" s="18">
        <v>1</v>
      </c>
      <c r="P26" s="18">
        <v>1</v>
      </c>
      <c r="Q26" s="18"/>
      <c r="R26" s="18">
        <v>0</v>
      </c>
      <c r="S26" s="18">
        <v>0</v>
      </c>
      <c r="T26" s="18">
        <v>49</v>
      </c>
      <c r="U26" s="18">
        <v>1</v>
      </c>
      <c r="V26" s="18">
        <v>1</v>
      </c>
      <c r="W26" s="18">
        <f t="shared" si="2"/>
        <v>4</v>
      </c>
      <c r="X26" s="18">
        <f t="shared" si="3"/>
        <v>1</v>
      </c>
      <c r="Y26" s="18">
        <f t="shared" si="4"/>
        <v>5</v>
      </c>
      <c r="Z26" s="18">
        <f t="shared" si="5"/>
        <v>4</v>
      </c>
      <c r="AA26" s="18">
        <f t="shared" si="6"/>
        <v>1</v>
      </c>
      <c r="AB26" s="18">
        <f t="shared" si="7"/>
        <v>219</v>
      </c>
      <c r="AC26" s="19">
        <f t="shared" si="8"/>
        <v>0.97716894977168955</v>
      </c>
      <c r="AD26" s="19">
        <f t="shared" si="9"/>
        <v>0.8</v>
      </c>
      <c r="AE26" s="19">
        <v>0.52300000000000002</v>
      </c>
    </row>
    <row r="27" spans="1:31" ht="13.2" x14ac:dyDescent="0.25">
      <c r="A27" s="18" t="str">
        <f ca="1">IFERROR(__xludf.DUMMYFUNCTION("LET(
  wk, VALUE(REGEXEXTRACT(B27, ""\d+"")),
  mon, DATE(2026, 1, 1) - WEEKDAY(DATE(2026, 1, 1), 3) + (wk - 1) * 7,
  sun, mon + 6,
  TEXT(mon, ""mmm d"") &amp; ""-"" &amp; TEXT(sun, ""mmm d"")
)"),"Jun 1-Jun 7")</f>
        <v>Jun 1-Jun 7</v>
      </c>
      <c r="B27" s="18" t="s">
        <v>31</v>
      </c>
      <c r="C27" s="18">
        <v>2</v>
      </c>
      <c r="D27" s="18">
        <v>2</v>
      </c>
      <c r="E27" s="18">
        <v>77</v>
      </c>
      <c r="F27" s="18">
        <v>0</v>
      </c>
      <c r="G27" s="18">
        <v>0</v>
      </c>
      <c r="H27" s="18">
        <v>36</v>
      </c>
      <c r="I27" s="18">
        <v>1</v>
      </c>
      <c r="J27" s="18">
        <v>1</v>
      </c>
      <c r="K27" s="18">
        <v>69</v>
      </c>
      <c r="L27" s="18">
        <v>0</v>
      </c>
      <c r="M27" s="18">
        <v>0</v>
      </c>
      <c r="N27" s="18">
        <v>88</v>
      </c>
      <c r="O27" s="18">
        <v>1</v>
      </c>
      <c r="P27" s="18">
        <v>1</v>
      </c>
      <c r="Q27" s="18"/>
      <c r="R27" s="18">
        <v>1</v>
      </c>
      <c r="S27" s="18">
        <v>1</v>
      </c>
      <c r="T27" s="18">
        <v>77</v>
      </c>
      <c r="U27" s="18">
        <v>1</v>
      </c>
      <c r="V27" s="18">
        <v>1</v>
      </c>
      <c r="W27" s="18">
        <f t="shared" si="2"/>
        <v>5</v>
      </c>
      <c r="X27" s="18">
        <f t="shared" si="3"/>
        <v>1</v>
      </c>
      <c r="Y27" s="18">
        <f t="shared" si="4"/>
        <v>6</v>
      </c>
      <c r="Z27" s="18">
        <f t="shared" si="5"/>
        <v>6</v>
      </c>
      <c r="AA27" s="18">
        <f t="shared" si="6"/>
        <v>0</v>
      </c>
      <c r="AB27" s="18">
        <f t="shared" si="7"/>
        <v>347</v>
      </c>
      <c r="AC27" s="19">
        <f t="shared" si="8"/>
        <v>0.98270893371757928</v>
      </c>
      <c r="AD27" s="19">
        <f t="shared" si="9"/>
        <v>1</v>
      </c>
      <c r="AE27" s="19">
        <v>0.48899999999999999</v>
      </c>
    </row>
    <row r="28" spans="1:31" ht="13.2" x14ac:dyDescent="0.25">
      <c r="A28" s="18" t="str">
        <f ca="1">IFERROR(__xludf.DUMMYFUNCTION("LET(
  wk, VALUE(REGEXEXTRACT(B28, ""\d+"")),
  mon, DATE(2026, 1, 1) - WEEKDAY(DATE(2026, 1, 1), 3) + (wk - 1) * 7,
  sun, mon + 6,
  TEXT(mon, ""mmm d"") &amp; ""-"" &amp; TEXT(sun, ""mmm d"")
)"),"Jun 8-Jun 14")</f>
        <v>Jun 8-Jun 14</v>
      </c>
      <c r="B28" s="18" t="s">
        <v>32</v>
      </c>
      <c r="C28" s="18">
        <v>1</v>
      </c>
      <c r="D28" s="18">
        <v>1</v>
      </c>
      <c r="E28" s="18">
        <v>77</v>
      </c>
      <c r="F28" s="18">
        <v>0</v>
      </c>
      <c r="G28" s="18">
        <v>0</v>
      </c>
      <c r="H28" s="18">
        <v>36</v>
      </c>
      <c r="I28" s="18">
        <v>0</v>
      </c>
      <c r="J28" s="18">
        <v>0</v>
      </c>
      <c r="K28" s="18">
        <v>69</v>
      </c>
      <c r="L28" s="18">
        <v>1</v>
      </c>
      <c r="M28" s="18">
        <v>0</v>
      </c>
      <c r="N28" s="18">
        <v>77</v>
      </c>
      <c r="O28" s="18">
        <v>0</v>
      </c>
      <c r="P28" s="18">
        <v>0</v>
      </c>
      <c r="Q28" s="18"/>
      <c r="R28" s="18">
        <v>0</v>
      </c>
      <c r="S28" s="18">
        <v>0</v>
      </c>
      <c r="T28" s="18">
        <v>77</v>
      </c>
      <c r="U28" s="18">
        <v>0</v>
      </c>
      <c r="V28" s="18">
        <v>0</v>
      </c>
      <c r="W28" s="18">
        <f t="shared" si="2"/>
        <v>2</v>
      </c>
      <c r="X28" s="18">
        <f t="shared" si="3"/>
        <v>0</v>
      </c>
      <c r="Y28" s="18">
        <f t="shared" si="4"/>
        <v>2</v>
      </c>
      <c r="Z28" s="18">
        <f t="shared" si="5"/>
        <v>1</v>
      </c>
      <c r="AA28" s="18">
        <f t="shared" si="6"/>
        <v>1</v>
      </c>
      <c r="AB28" s="18">
        <f t="shared" si="7"/>
        <v>336</v>
      </c>
      <c r="AC28" s="19">
        <f t="shared" si="8"/>
        <v>0.99404761904761907</v>
      </c>
      <c r="AD28" s="19">
        <f t="shared" si="9"/>
        <v>0.5</v>
      </c>
      <c r="AE28" s="19">
        <v>0.48499999999999999</v>
      </c>
    </row>
    <row r="29" spans="1:31" ht="13.2" x14ac:dyDescent="0.25">
      <c r="A29" s="18" t="str">
        <f ca="1">IFERROR(__xludf.DUMMYFUNCTION("LET(
  wk, VALUE(REGEXEXTRACT(B29, ""\d+"")),
  mon, DATE(2026, 1, 1) - WEEKDAY(DATE(2026, 1, 1), 3) + (wk - 1) * 7,
  sun, mon + 6,
  TEXT(mon, ""mmm d"") &amp; ""-"" &amp; TEXT(sun, ""mmm d"")
)"),"Jun 15-Jun 21")</f>
        <v>Jun 15-Jun 21</v>
      </c>
      <c r="B29" s="18" t="s">
        <v>33</v>
      </c>
      <c r="C29" s="18">
        <v>1</v>
      </c>
      <c r="D29" s="18">
        <v>1</v>
      </c>
      <c r="E29" s="18">
        <v>77</v>
      </c>
      <c r="F29" s="18">
        <v>0</v>
      </c>
      <c r="G29" s="18">
        <v>0</v>
      </c>
      <c r="H29" s="18">
        <v>35</v>
      </c>
      <c r="I29" s="18">
        <v>0</v>
      </c>
      <c r="J29" s="18">
        <v>0</v>
      </c>
      <c r="K29" s="18">
        <v>68</v>
      </c>
      <c r="L29" s="18">
        <v>0</v>
      </c>
      <c r="M29" s="18">
        <v>0</v>
      </c>
      <c r="N29" s="18">
        <v>50</v>
      </c>
      <c r="O29" s="18">
        <v>0</v>
      </c>
      <c r="P29" s="18">
        <v>0</v>
      </c>
      <c r="Q29" s="18"/>
      <c r="R29" s="18">
        <v>0</v>
      </c>
      <c r="S29" s="18">
        <v>0</v>
      </c>
      <c r="T29" s="18">
        <v>77</v>
      </c>
      <c r="U29" s="18">
        <v>0</v>
      </c>
      <c r="V29" s="18">
        <v>0</v>
      </c>
      <c r="W29" s="18">
        <f t="shared" si="2"/>
        <v>1</v>
      </c>
      <c r="X29" s="18">
        <f t="shared" si="3"/>
        <v>0</v>
      </c>
      <c r="Y29" s="18">
        <f t="shared" si="4"/>
        <v>1</v>
      </c>
      <c r="Z29" s="18">
        <f t="shared" si="5"/>
        <v>1</v>
      </c>
      <c r="AA29" s="18">
        <f t="shared" si="6"/>
        <v>0</v>
      </c>
      <c r="AB29" s="18">
        <f t="shared" si="7"/>
        <v>307</v>
      </c>
      <c r="AC29" s="19">
        <f t="shared" si="8"/>
        <v>0.99674267100977199</v>
      </c>
      <c r="AD29" s="19">
        <f t="shared" si="9"/>
        <v>1</v>
      </c>
      <c r="AE29" s="19">
        <v>0.39100000000000001</v>
      </c>
    </row>
    <row r="30" spans="1:31" ht="13.2" x14ac:dyDescent="0.25">
      <c r="A30" s="18" t="str">
        <f ca="1">IFERROR(__xludf.DUMMYFUNCTION("LET(
  wk, VALUE(REGEXEXTRACT(B30, ""\d+"")),
  mon, DATE(2026, 1, 1) - WEEKDAY(DATE(2026, 1, 1), 3) + (wk - 1) * 7,
  sun, mon + 6,
  TEXT(mon, ""mmm d"") &amp; ""-"" &amp; TEXT(sun, ""mmm d"")
)"),"Jun 22-Jun 28")</f>
        <v>Jun 22-Jun 28</v>
      </c>
      <c r="B30" s="18" t="s">
        <v>34</v>
      </c>
      <c r="C30" s="18">
        <v>0</v>
      </c>
      <c r="D30" s="18">
        <v>0</v>
      </c>
      <c r="E30" s="18">
        <v>77</v>
      </c>
      <c r="F30" s="18">
        <v>0</v>
      </c>
      <c r="G30" s="18">
        <v>0</v>
      </c>
      <c r="H30" s="18">
        <v>35</v>
      </c>
      <c r="I30" s="18">
        <v>0</v>
      </c>
      <c r="J30" s="18">
        <v>0</v>
      </c>
      <c r="K30" s="18">
        <v>68</v>
      </c>
      <c r="L30" s="18">
        <v>1</v>
      </c>
      <c r="M30" s="18">
        <v>1</v>
      </c>
      <c r="N30" s="18">
        <v>53</v>
      </c>
      <c r="O30" s="18">
        <v>0</v>
      </c>
      <c r="P30" s="18">
        <v>0</v>
      </c>
      <c r="Q30" s="18"/>
      <c r="R30" s="18">
        <v>0</v>
      </c>
      <c r="S30" s="18">
        <v>0</v>
      </c>
      <c r="T30" s="18">
        <v>77</v>
      </c>
      <c r="U30" s="18">
        <v>0</v>
      </c>
      <c r="V30" s="18">
        <v>0</v>
      </c>
      <c r="W30" s="18">
        <f t="shared" si="2"/>
        <v>1</v>
      </c>
      <c r="X30" s="18">
        <f t="shared" si="3"/>
        <v>0</v>
      </c>
      <c r="Y30" s="18">
        <f t="shared" si="4"/>
        <v>1</v>
      </c>
      <c r="Z30" s="18">
        <f t="shared" si="5"/>
        <v>1</v>
      </c>
      <c r="AA30" s="18">
        <f t="shared" si="6"/>
        <v>0</v>
      </c>
      <c r="AB30" s="18">
        <f t="shared" si="7"/>
        <v>310</v>
      </c>
      <c r="AC30" s="19">
        <f t="shared" si="8"/>
        <v>0.99677419354838714</v>
      </c>
      <c r="AD30" s="19">
        <f t="shared" si="9"/>
        <v>1</v>
      </c>
      <c r="AE30" s="19">
        <v>0.36799999999999999</v>
      </c>
    </row>
    <row r="31" spans="1:31" ht="13.2" x14ac:dyDescent="0.25">
      <c r="A31" s="18" t="str">
        <f ca="1">IFERROR(__xludf.DUMMYFUNCTION("LET(
  wk, VALUE(REGEXEXTRACT(B31, ""\d+"")),
  mon, DATE(2026, 1, 1) - WEEKDAY(DATE(2026, 1, 1), 3) + (wk - 1) * 7,
  sun, mon + 6,
  TEXT(mon, ""mmm d"") &amp; ""-"" &amp; TEXT(sun, ""mmm d"")
)"),"Jun 29-Jul 5")</f>
        <v>Jun 29-Jul 5</v>
      </c>
      <c r="B31" s="18" t="s">
        <v>35</v>
      </c>
      <c r="C31" s="18">
        <v>0</v>
      </c>
      <c r="D31" s="18">
        <v>0</v>
      </c>
      <c r="E31" s="18">
        <v>93</v>
      </c>
      <c r="F31" s="18">
        <v>0</v>
      </c>
      <c r="G31" s="18">
        <v>0</v>
      </c>
      <c r="H31" s="18">
        <v>43</v>
      </c>
      <c r="I31" s="18">
        <v>1</v>
      </c>
      <c r="J31" s="18">
        <v>1</v>
      </c>
      <c r="K31" s="18">
        <v>84</v>
      </c>
      <c r="L31" s="18">
        <v>0</v>
      </c>
      <c r="M31" s="18">
        <v>0</v>
      </c>
      <c r="N31" s="18">
        <v>86</v>
      </c>
      <c r="O31" s="18">
        <v>3</v>
      </c>
      <c r="P31" s="18">
        <v>3</v>
      </c>
      <c r="Q31" s="18"/>
      <c r="R31" s="18">
        <v>0</v>
      </c>
      <c r="S31" s="18">
        <v>0</v>
      </c>
      <c r="T31" s="18">
        <v>97</v>
      </c>
      <c r="U31" s="18">
        <v>0</v>
      </c>
      <c r="V31" s="18">
        <v>0</v>
      </c>
      <c r="W31" s="18">
        <f t="shared" si="2"/>
        <v>4</v>
      </c>
      <c r="X31" s="18">
        <f t="shared" si="3"/>
        <v>0</v>
      </c>
      <c r="Y31" s="18">
        <f t="shared" si="4"/>
        <v>4</v>
      </c>
      <c r="Z31" s="18">
        <f t="shared" si="5"/>
        <v>4</v>
      </c>
      <c r="AA31" s="18">
        <f t="shared" si="6"/>
        <v>0</v>
      </c>
      <c r="AB31" s="18">
        <f t="shared" si="7"/>
        <v>403</v>
      </c>
      <c r="AC31" s="19">
        <f t="shared" si="8"/>
        <v>0.99007444168734493</v>
      </c>
      <c r="AD31" s="19">
        <f t="shared" si="9"/>
        <v>1</v>
      </c>
      <c r="AE31" s="19">
        <v>0.51900000000000002</v>
      </c>
    </row>
    <row r="32" spans="1:31" ht="13.2" x14ac:dyDescent="0.25">
      <c r="A32" s="18" t="str">
        <f ca="1">IFERROR(__xludf.DUMMYFUNCTION("LET(
  wk, VALUE(REGEXEXTRACT(B32, ""\d+"")),
  mon, DATE(2026, 1, 1) - WEEKDAY(DATE(2026, 1, 1), 3) + (wk - 1) * 7,
  sun, mon + 6,
  TEXT(mon, ""mmm d"") &amp; ""-"" &amp; TEXT(sun, ""mmm d"")
)"),"Jul 6-Jul 12")</f>
        <v>Jul 6-Jul 12</v>
      </c>
      <c r="B32" s="18" t="s">
        <v>36</v>
      </c>
      <c r="C32" s="18">
        <v>2</v>
      </c>
      <c r="D32" s="18">
        <v>1</v>
      </c>
      <c r="E32" s="18">
        <v>105</v>
      </c>
      <c r="F32" s="18">
        <v>0</v>
      </c>
      <c r="G32" s="18">
        <v>0</v>
      </c>
      <c r="H32" s="18">
        <v>51</v>
      </c>
      <c r="I32" s="18">
        <v>0</v>
      </c>
      <c r="J32" s="18">
        <v>0</v>
      </c>
      <c r="K32" s="18">
        <v>96</v>
      </c>
      <c r="L32" s="18">
        <v>1</v>
      </c>
      <c r="M32" s="18">
        <v>1</v>
      </c>
      <c r="N32" s="18">
        <v>130</v>
      </c>
      <c r="O32" s="18">
        <v>0</v>
      </c>
      <c r="P32" s="18">
        <v>0</v>
      </c>
      <c r="Q32" s="18"/>
      <c r="R32" s="18">
        <v>0</v>
      </c>
      <c r="S32" s="18">
        <v>0</v>
      </c>
      <c r="T32" s="18">
        <v>105</v>
      </c>
      <c r="U32" s="18">
        <v>0</v>
      </c>
      <c r="V32" s="18">
        <v>0</v>
      </c>
      <c r="W32" s="18">
        <f t="shared" si="2"/>
        <v>3</v>
      </c>
      <c r="X32" s="18">
        <f t="shared" si="3"/>
        <v>0</v>
      </c>
      <c r="Y32" s="18">
        <f t="shared" si="4"/>
        <v>3</v>
      </c>
      <c r="Z32" s="18">
        <f t="shared" si="5"/>
        <v>2</v>
      </c>
      <c r="AA32" s="18">
        <f t="shared" si="6"/>
        <v>1</v>
      </c>
      <c r="AB32" s="18">
        <f t="shared" si="7"/>
        <v>487</v>
      </c>
      <c r="AC32" s="19">
        <f t="shared" si="8"/>
        <v>0.99383983572895274</v>
      </c>
      <c r="AD32" s="19">
        <f t="shared" si="9"/>
        <v>0.66666666666666663</v>
      </c>
      <c r="AE32" s="19">
        <v>0.53800000000000003</v>
      </c>
    </row>
    <row r="33" spans="1:43" ht="13.2" x14ac:dyDescent="0.25">
      <c r="A33" s="18" t="str">
        <f ca="1">IFERROR(__xludf.DUMMYFUNCTION("LET(
  wk, VALUE(REGEXEXTRACT(B33, ""\d+"")),
  mon, DATE(2026, 1, 1) - WEEKDAY(DATE(2026, 1, 1), 3) + (wk - 1) * 7,
  sun, mon + 6,
  TEXT(mon, ""mmm d"") &amp; ""-"" &amp; TEXT(sun, ""mmm d"")
)"),"Jul 13-Jul 19")</f>
        <v>Jul 13-Jul 19</v>
      </c>
      <c r="B33" s="18" t="s">
        <v>37</v>
      </c>
      <c r="C33" s="18">
        <v>1</v>
      </c>
      <c r="D33" s="18">
        <v>1</v>
      </c>
      <c r="E33" s="18">
        <v>105</v>
      </c>
      <c r="F33" s="18">
        <v>0</v>
      </c>
      <c r="G33" s="18">
        <v>0</v>
      </c>
      <c r="H33" s="18">
        <v>48</v>
      </c>
      <c r="I33" s="18">
        <v>3</v>
      </c>
      <c r="J33" s="18">
        <v>3</v>
      </c>
      <c r="K33" s="18">
        <v>93</v>
      </c>
      <c r="L33" s="18">
        <v>3</v>
      </c>
      <c r="M33" s="18">
        <v>2</v>
      </c>
      <c r="N33" s="18">
        <v>137</v>
      </c>
      <c r="O33" s="18">
        <v>0</v>
      </c>
      <c r="P33" s="18">
        <v>0</v>
      </c>
      <c r="Q33" s="18"/>
      <c r="R33" s="18">
        <v>0</v>
      </c>
      <c r="S33" s="18">
        <v>0</v>
      </c>
      <c r="T33" s="18">
        <v>105</v>
      </c>
      <c r="U33" s="18">
        <v>1</v>
      </c>
      <c r="V33" s="18">
        <v>1</v>
      </c>
      <c r="W33" s="18">
        <f t="shared" si="2"/>
        <v>7</v>
      </c>
      <c r="X33" s="18">
        <f t="shared" si="3"/>
        <v>1</v>
      </c>
      <c r="Y33" s="18">
        <f t="shared" si="4"/>
        <v>8</v>
      </c>
      <c r="Z33" s="18">
        <f t="shared" si="5"/>
        <v>7</v>
      </c>
      <c r="AA33" s="18">
        <f t="shared" si="6"/>
        <v>1</v>
      </c>
      <c r="AB33" s="18">
        <f t="shared" si="7"/>
        <v>488</v>
      </c>
      <c r="AC33" s="19">
        <f t="shared" si="8"/>
        <v>0.98360655737704916</v>
      </c>
      <c r="AD33" s="19">
        <f t="shared" si="9"/>
        <v>0.875</v>
      </c>
      <c r="AE33" s="19">
        <v>0.58099999999999996</v>
      </c>
    </row>
    <row r="34" spans="1:43" ht="13.2" x14ac:dyDescent="0.25">
      <c r="A34" s="18" t="str">
        <f ca="1">IFERROR(__xludf.DUMMYFUNCTION("LET(
  wk, VALUE(REGEXEXTRACT(B34, ""\d+"")),
  mon, DATE(2026, 1, 1) - WEEKDAY(DATE(2026, 1, 1), 3) + (wk - 1) * 7,
  sun, mon + 6,
  TEXT(mon, ""mmm d"") &amp; ""-"" &amp; TEXT(sun, ""mmm d"")
)"),"Jul 20-Jul 26")</f>
        <v>Jul 20-Jul 26</v>
      </c>
      <c r="B34" s="18" t="s">
        <v>38</v>
      </c>
      <c r="C34" s="18">
        <v>3</v>
      </c>
      <c r="D34" s="18">
        <v>1</v>
      </c>
      <c r="E34" s="18">
        <v>105</v>
      </c>
      <c r="F34" s="18">
        <v>0</v>
      </c>
      <c r="G34" s="18">
        <v>0</v>
      </c>
      <c r="H34" s="18">
        <v>49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97</v>
      </c>
      <c r="O34" s="18">
        <v>1</v>
      </c>
      <c r="P34" s="18">
        <v>1</v>
      </c>
      <c r="Q34" s="18"/>
      <c r="R34" s="18">
        <v>0</v>
      </c>
      <c r="S34" s="18">
        <v>0</v>
      </c>
      <c r="T34" s="18">
        <v>105</v>
      </c>
      <c r="U34" s="18">
        <v>0</v>
      </c>
      <c r="V34" s="18">
        <v>0</v>
      </c>
      <c r="W34" s="18">
        <f t="shared" si="2"/>
        <v>4</v>
      </c>
      <c r="X34" s="18">
        <f t="shared" si="3"/>
        <v>0</v>
      </c>
      <c r="Y34" s="18">
        <f t="shared" si="4"/>
        <v>4</v>
      </c>
      <c r="Z34" s="18">
        <f t="shared" si="5"/>
        <v>2</v>
      </c>
      <c r="AA34" s="18">
        <f t="shared" si="6"/>
        <v>2</v>
      </c>
      <c r="AB34" s="18">
        <f t="shared" si="7"/>
        <v>356</v>
      </c>
      <c r="AC34" s="19">
        <f t="shared" si="8"/>
        <v>0.9887640449438202</v>
      </c>
      <c r="AD34" s="19">
        <f t="shared" si="9"/>
        <v>0.5</v>
      </c>
      <c r="AE34" s="19">
        <v>0.627</v>
      </c>
    </row>
    <row r="35" spans="1:43" ht="13.2" x14ac:dyDescent="0.25">
      <c r="A35" s="18" t="str">
        <f ca="1">IFERROR(__xludf.DUMMYFUNCTION("LET(
  wk, VALUE(REGEXEXTRACT(B35, ""\d+"")),
  mon, DATE(2026, 1, 1) - WEEKDAY(DATE(2026, 1, 1), 3) + (wk - 1) * 7,
  sun, mon + 6,
  TEXT(mon, ""mmm d"") &amp; ""-"" &amp; TEXT(sun, ""mmm d"")
)"),"Jul 27-Aug 2")</f>
        <v>Jul 27-Aug 2</v>
      </c>
      <c r="B35" s="18" t="s">
        <v>39</v>
      </c>
      <c r="C35" s="18">
        <v>3</v>
      </c>
      <c r="D35" s="18">
        <v>2</v>
      </c>
      <c r="E35" s="18">
        <v>109</v>
      </c>
      <c r="F35" s="18">
        <v>0</v>
      </c>
      <c r="G35" s="18">
        <v>0</v>
      </c>
      <c r="H35" s="18">
        <v>55</v>
      </c>
      <c r="I35" s="18">
        <v>1</v>
      </c>
      <c r="J35" s="18">
        <v>1</v>
      </c>
      <c r="K35" s="18">
        <v>100</v>
      </c>
      <c r="L35" s="18">
        <v>2</v>
      </c>
      <c r="M35" s="18">
        <v>2</v>
      </c>
      <c r="N35" s="18">
        <v>248</v>
      </c>
      <c r="O35" s="18">
        <v>11</v>
      </c>
      <c r="P35" s="18">
        <v>4</v>
      </c>
      <c r="Q35" s="18"/>
      <c r="R35" s="18">
        <v>0</v>
      </c>
      <c r="S35" s="18">
        <v>0</v>
      </c>
      <c r="T35" s="18">
        <v>113</v>
      </c>
      <c r="U35" s="18">
        <v>2</v>
      </c>
      <c r="V35" s="18">
        <v>1</v>
      </c>
      <c r="W35" s="18">
        <f t="shared" si="2"/>
        <v>17</v>
      </c>
      <c r="X35" s="18">
        <f t="shared" si="3"/>
        <v>2</v>
      </c>
      <c r="Y35" s="18">
        <f t="shared" si="4"/>
        <v>19</v>
      </c>
      <c r="Z35" s="18">
        <f t="shared" si="5"/>
        <v>10</v>
      </c>
      <c r="AA35" s="18">
        <f t="shared" si="6"/>
        <v>9</v>
      </c>
      <c r="AB35" s="18">
        <f t="shared" si="7"/>
        <v>625</v>
      </c>
      <c r="AC35" s="19">
        <f t="shared" si="8"/>
        <v>0.96960000000000002</v>
      </c>
      <c r="AD35" s="19">
        <f t="shared" si="9"/>
        <v>0.52631578947368418</v>
      </c>
      <c r="AE35" s="19">
        <v>0.69499999999999995</v>
      </c>
    </row>
    <row r="36" spans="1:43" ht="14.4" x14ac:dyDescent="0.3">
      <c r="A36" s="18" t="str">
        <f ca="1">IFERROR(__xludf.DUMMYFUNCTION("LET(
  wk, VALUE(REGEXEXTRACT(B36, ""\d+"")),
  mon, DATE(2026, 1, 1) - WEEKDAY(DATE(2026, 1, 1), 3) + (wk - 1) * 7,
  sun, mon + 6,
  TEXT(mon, ""mmm d"") &amp; ""-"" &amp; TEXT(sun, ""mmm d"")
)"),"Aug 3-Aug 9")</f>
        <v>Aug 3-Aug 9</v>
      </c>
      <c r="B36" s="18" t="s">
        <v>40</v>
      </c>
      <c r="C36" s="18">
        <v>3</v>
      </c>
      <c r="D36" s="18">
        <v>1</v>
      </c>
      <c r="E36" s="18">
        <v>132</v>
      </c>
      <c r="F36" s="18">
        <v>0</v>
      </c>
      <c r="G36" s="18">
        <v>0</v>
      </c>
      <c r="H36" s="18">
        <v>64</v>
      </c>
      <c r="I36" s="18">
        <v>0</v>
      </c>
      <c r="J36" s="18">
        <v>0</v>
      </c>
      <c r="K36" s="20">
        <v>120</v>
      </c>
      <c r="L36" s="18">
        <v>0</v>
      </c>
      <c r="M36" s="18">
        <v>0</v>
      </c>
      <c r="N36" s="18">
        <v>313</v>
      </c>
      <c r="O36" s="18">
        <v>3</v>
      </c>
      <c r="P36" s="18">
        <v>1</v>
      </c>
      <c r="Q36" s="18"/>
      <c r="R36" s="18">
        <v>0</v>
      </c>
      <c r="S36" s="18">
        <v>0</v>
      </c>
      <c r="T36" s="18">
        <v>133</v>
      </c>
      <c r="U36" s="18">
        <v>1</v>
      </c>
      <c r="V36" s="18">
        <v>0</v>
      </c>
      <c r="W36" s="18">
        <f t="shared" si="2"/>
        <v>6</v>
      </c>
      <c r="X36" s="18">
        <f t="shared" si="3"/>
        <v>1</v>
      </c>
      <c r="Y36" s="18">
        <f t="shared" si="4"/>
        <v>7</v>
      </c>
      <c r="Z36" s="18">
        <f t="shared" si="5"/>
        <v>2</v>
      </c>
      <c r="AA36" s="18">
        <f t="shared" si="6"/>
        <v>5</v>
      </c>
      <c r="AB36" s="18">
        <f t="shared" si="7"/>
        <v>762</v>
      </c>
      <c r="AC36" s="19">
        <f t="shared" si="8"/>
        <v>0.99081364829396323</v>
      </c>
      <c r="AD36" s="19">
        <f t="shared" si="9"/>
        <v>0.2857142857142857</v>
      </c>
      <c r="AE36" s="19">
        <v>0.65900000000000003</v>
      </c>
    </row>
    <row r="37" spans="1:43" ht="14.4" x14ac:dyDescent="0.3">
      <c r="A37" s="18" t="s">
        <v>41</v>
      </c>
      <c r="B37" s="18" t="s">
        <v>42</v>
      </c>
      <c r="C37" s="21">
        <v>0</v>
      </c>
      <c r="D37" s="21">
        <v>0</v>
      </c>
      <c r="E37" s="20">
        <v>132</v>
      </c>
      <c r="F37" s="21">
        <v>0</v>
      </c>
      <c r="G37" s="21">
        <v>0</v>
      </c>
      <c r="H37" s="20">
        <v>71</v>
      </c>
      <c r="I37" s="21">
        <v>9</v>
      </c>
      <c r="J37" s="21">
        <v>0</v>
      </c>
      <c r="K37" s="20">
        <v>127</v>
      </c>
      <c r="L37" s="21">
        <v>0</v>
      </c>
      <c r="M37" s="21">
        <v>0</v>
      </c>
      <c r="N37" s="20">
        <v>261</v>
      </c>
      <c r="O37" s="21">
        <v>2</v>
      </c>
      <c r="P37" s="21">
        <v>1</v>
      </c>
      <c r="Q37" s="18"/>
      <c r="R37" s="21">
        <v>0</v>
      </c>
      <c r="S37" s="21">
        <v>0</v>
      </c>
      <c r="T37" s="20">
        <v>76</v>
      </c>
      <c r="U37" s="21">
        <v>3</v>
      </c>
      <c r="V37" s="21">
        <v>3</v>
      </c>
      <c r="W37" s="18">
        <f t="shared" si="2"/>
        <v>11</v>
      </c>
      <c r="X37" s="18">
        <f t="shared" si="3"/>
        <v>3</v>
      </c>
      <c r="Y37" s="21">
        <f t="shared" si="4"/>
        <v>14</v>
      </c>
      <c r="Z37" s="21">
        <f t="shared" si="5"/>
        <v>4</v>
      </c>
      <c r="AA37" s="21">
        <f t="shared" si="6"/>
        <v>10</v>
      </c>
      <c r="AB37" s="18">
        <f t="shared" si="7"/>
        <v>667</v>
      </c>
      <c r="AC37" s="19">
        <f t="shared" si="8"/>
        <v>0.97901049475262369</v>
      </c>
      <c r="AD37" s="19">
        <f t="shared" si="9"/>
        <v>0.2857142857142857</v>
      </c>
      <c r="AE37" s="19">
        <v>0.64300000000000002</v>
      </c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spans="1:43" ht="13.2" x14ac:dyDescent="0.25">
      <c r="A38" s="18" t="s">
        <v>43</v>
      </c>
      <c r="B38" s="18" t="s">
        <v>44</v>
      </c>
      <c r="C38" s="18"/>
      <c r="D38" s="18"/>
      <c r="E38" s="18">
        <v>132</v>
      </c>
      <c r="F38" s="18"/>
      <c r="G38" s="18"/>
      <c r="H38" s="18">
        <v>75</v>
      </c>
      <c r="I38" s="18">
        <v>9</v>
      </c>
      <c r="J38" s="18">
        <v>5</v>
      </c>
      <c r="K38" s="18">
        <v>131</v>
      </c>
      <c r="L38" s="18">
        <v>1</v>
      </c>
      <c r="M38" s="18">
        <v>0</v>
      </c>
      <c r="N38" s="18">
        <v>229</v>
      </c>
      <c r="O38" s="18"/>
      <c r="P38" s="18"/>
      <c r="Q38" s="18"/>
      <c r="R38" s="18"/>
      <c r="S38" s="18"/>
      <c r="T38" s="18">
        <v>68</v>
      </c>
      <c r="U38" s="18"/>
      <c r="V38" s="18"/>
      <c r="W38" s="18">
        <f t="shared" si="2"/>
        <v>10</v>
      </c>
      <c r="X38" s="18">
        <f t="shared" si="3"/>
        <v>0</v>
      </c>
      <c r="Y38" s="18">
        <f t="shared" si="4"/>
        <v>10</v>
      </c>
      <c r="Z38" s="18">
        <f t="shared" si="5"/>
        <v>5</v>
      </c>
      <c r="AA38" s="18">
        <f t="shared" si="6"/>
        <v>5</v>
      </c>
      <c r="AB38" s="18">
        <f t="shared" si="7"/>
        <v>635</v>
      </c>
      <c r="AC38" s="19">
        <f t="shared" si="8"/>
        <v>0.98425196850393704</v>
      </c>
      <c r="AD38" s="19">
        <f t="shared" si="9"/>
        <v>0.5</v>
      </c>
      <c r="AE38" s="19">
        <v>0.63</v>
      </c>
    </row>
    <row r="39" spans="1:43" ht="14.4" x14ac:dyDescent="0.3">
      <c r="A39" s="18" t="s">
        <v>45</v>
      </c>
      <c r="B39" s="18" t="s">
        <v>46</v>
      </c>
      <c r="C39" s="21"/>
      <c r="D39" s="21"/>
      <c r="E39" s="20">
        <v>132</v>
      </c>
      <c r="F39" s="21"/>
      <c r="G39" s="21"/>
      <c r="H39" s="20">
        <v>71</v>
      </c>
      <c r="I39" s="21">
        <v>7</v>
      </c>
      <c r="J39" s="21">
        <v>2</v>
      </c>
      <c r="K39" s="20">
        <v>127</v>
      </c>
      <c r="L39" s="21">
        <v>1</v>
      </c>
      <c r="M39" s="21">
        <v>0</v>
      </c>
      <c r="N39" s="20">
        <v>185</v>
      </c>
      <c r="O39" s="21"/>
      <c r="P39" s="21"/>
      <c r="Q39" s="18"/>
      <c r="R39" s="21"/>
      <c r="S39" s="21"/>
      <c r="T39" s="20">
        <v>119</v>
      </c>
      <c r="U39" s="21"/>
      <c r="V39" s="21"/>
      <c r="W39" s="18">
        <f t="shared" si="2"/>
        <v>8</v>
      </c>
      <c r="X39" s="18">
        <f t="shared" si="3"/>
        <v>0</v>
      </c>
      <c r="Y39" s="18">
        <f t="shared" si="4"/>
        <v>8</v>
      </c>
      <c r="Z39" s="18">
        <f t="shared" si="5"/>
        <v>2</v>
      </c>
      <c r="AA39" s="18">
        <f t="shared" si="6"/>
        <v>6</v>
      </c>
      <c r="AB39" s="18">
        <f t="shared" si="7"/>
        <v>634</v>
      </c>
      <c r="AC39" s="19">
        <f t="shared" si="8"/>
        <v>0.98738170347003151</v>
      </c>
      <c r="AD39" s="19">
        <f t="shared" si="9"/>
        <v>0.25</v>
      </c>
      <c r="AE39" s="19">
        <v>0.7</v>
      </c>
    </row>
    <row r="40" spans="1:43" ht="14.4" x14ac:dyDescent="0.3">
      <c r="A40" s="18" t="s">
        <v>47</v>
      </c>
      <c r="B40" s="18" t="s">
        <v>48</v>
      </c>
      <c r="C40" s="21">
        <v>1</v>
      </c>
      <c r="D40" s="21">
        <v>1</v>
      </c>
      <c r="E40" s="22">
        <v>142</v>
      </c>
      <c r="F40" s="21"/>
      <c r="G40" s="21"/>
      <c r="H40" s="22">
        <v>75</v>
      </c>
      <c r="I40" s="21">
        <v>8</v>
      </c>
      <c r="J40" s="21">
        <v>0</v>
      </c>
      <c r="K40" s="22">
        <v>135</v>
      </c>
      <c r="L40" s="21">
        <v>1</v>
      </c>
      <c r="M40" s="21">
        <v>0</v>
      </c>
      <c r="N40" s="22">
        <v>236</v>
      </c>
      <c r="O40" s="21">
        <v>2</v>
      </c>
      <c r="P40" s="21">
        <v>2</v>
      </c>
      <c r="Q40" s="18"/>
      <c r="R40" s="21"/>
      <c r="S40" s="21"/>
      <c r="T40" s="22">
        <v>145</v>
      </c>
      <c r="U40" s="21"/>
      <c r="V40" s="21"/>
      <c r="W40" s="18">
        <f t="shared" si="2"/>
        <v>12</v>
      </c>
      <c r="X40" s="18">
        <f t="shared" si="3"/>
        <v>0</v>
      </c>
      <c r="Y40" s="18">
        <f t="shared" si="4"/>
        <v>12</v>
      </c>
      <c r="Z40" s="18">
        <f t="shared" si="5"/>
        <v>3</v>
      </c>
      <c r="AA40" s="18">
        <f t="shared" si="6"/>
        <v>9</v>
      </c>
      <c r="AB40" s="18">
        <f t="shared" si="7"/>
        <v>733</v>
      </c>
      <c r="AC40" s="19">
        <f t="shared" si="8"/>
        <v>0.98362892223738063</v>
      </c>
      <c r="AD40" s="19">
        <f t="shared" si="9"/>
        <v>0.25</v>
      </c>
      <c r="AE40" s="19">
        <v>0.61</v>
      </c>
    </row>
    <row r="61" spans="13:13" ht="13.2" x14ac:dyDescent="0.25">
      <c r="M61" s="5" t="s">
        <v>49</v>
      </c>
    </row>
  </sheetData>
  <mergeCells count="17">
    <mergeCell ref="U22:V22"/>
    <mergeCell ref="U20:V20"/>
    <mergeCell ref="A21:A22"/>
    <mergeCell ref="B21:B22"/>
    <mergeCell ref="W21:X21"/>
    <mergeCell ref="C22:E22"/>
    <mergeCell ref="F22:H22"/>
    <mergeCell ref="I22:K22"/>
    <mergeCell ref="L22:N22"/>
    <mergeCell ref="O22:Q22"/>
    <mergeCell ref="R22:T22"/>
    <mergeCell ref="C20:D20"/>
    <mergeCell ref="F20:G20"/>
    <mergeCell ref="I20:J20"/>
    <mergeCell ref="L20:M20"/>
    <mergeCell ref="O20:P20"/>
    <mergeCell ref="R20:S20"/>
  </mergeCells>
  <conditionalFormatting sqref="C23:V36">
    <cfRule type="containsBlanks" dxfId="0" priority="1">
      <formula>LEN(TRIM(C23))=0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Adoption  Success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 Magbanua</dc:creator>
  <cp:lastModifiedBy>Gen Magbanua</cp:lastModifiedBy>
  <dcterms:created xsi:type="dcterms:W3CDTF">2026-09-09T16:10:06Z</dcterms:created>
  <dcterms:modified xsi:type="dcterms:W3CDTF">2026-09-09T16:29:43Z</dcterms:modified>
</cp:coreProperties>
</file>