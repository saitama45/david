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laravel\david\public\Files\"/>
    </mc:Choice>
  </mc:AlternateContent>
  <xr:revisionPtr revIDLastSave="0" documentId="13_ncr:1_{99856372-65A4-4F72-BF7B-05D5CC72A794}" xr6:coauthVersionLast="47" xr6:coauthVersionMax="47" xr10:uidLastSave="{00000000-0000-0000-0000-000000000000}"/>
  <bookViews>
    <workbookView xWindow="-120" yWindow="-120" windowWidth="24240" windowHeight="13020" xr2:uid="{E0AA28BE-E3A6-4B78-A4BF-4DD9230927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1" l="1"/>
  <c r="L19" i="1"/>
  <c r="L15" i="1"/>
  <c r="L11" i="1"/>
  <c r="L7" i="1"/>
  <c r="L3" i="1"/>
  <c r="L25" i="1" l="1"/>
</calcChain>
</file>

<file path=xl/sharedStrings.xml><?xml version="1.0" encoding="utf-8"?>
<sst xmlns="http://schemas.openxmlformats.org/spreadsheetml/2006/main" count="144" uniqueCount="53">
  <si>
    <t>MONDAY- SEPT 22</t>
  </si>
  <si>
    <t>MANDALUYONG</t>
  </si>
  <si>
    <t>PARANAQUE</t>
  </si>
  <si>
    <t>ALABANG</t>
  </si>
  <si>
    <t>ANTIPOLO</t>
  </si>
  <si>
    <t>SJDM</t>
  </si>
  <si>
    <t>CAMANAVA</t>
  </si>
  <si>
    <t>ITEM CODE</t>
  </si>
  <si>
    <t>ITEM DESCRIPTION</t>
  </si>
  <si>
    <t>UOM</t>
  </si>
  <si>
    <r>
      <t xml:space="preserve">EDI-NONOS GFD </t>
    </r>
    <r>
      <rPr>
        <sz val="12"/>
        <color theme="1"/>
        <rFont val="Calibri"/>
        <family val="2"/>
      </rPr>
      <t>Unit 1, Greenfield Tower, Greenfield District, Barangay Highway Hills, Mandaluyong City</t>
    </r>
  </si>
  <si>
    <r>
      <t xml:space="preserve">EDI-NONOS SMA
</t>
    </r>
    <r>
      <rPr>
        <sz val="11"/>
        <color theme="1"/>
        <rFont val="Calibri"/>
        <family val="2"/>
      </rPr>
      <t>RDU CONDRAD MANILA OCEAN DRIVE PASAY CITY</t>
    </r>
  </si>
  <si>
    <r>
      <t xml:space="preserve">EDI-NONOS ABA
</t>
    </r>
    <r>
      <rPr>
        <sz val="11"/>
        <color theme="1"/>
        <rFont val="Calibri"/>
        <family val="2"/>
      </rPr>
      <t>G/F, Lot 2, Ayala Malls Manila Bay, Paranaque City</t>
    </r>
  </si>
  <si>
    <r>
      <t xml:space="preserve">EDI-NONOS OKA
</t>
    </r>
    <r>
      <rPr>
        <sz val="11"/>
        <color theme="1"/>
        <rFont val="Calibri"/>
        <family val="2"/>
      </rPr>
      <t>Upper Ground Floor, Crystal Corridor, Pearl Wing, Okada Manila Paranaque</t>
    </r>
  </si>
  <si>
    <r>
      <t xml:space="preserve">EDI-NONOS FIL
</t>
    </r>
    <r>
      <rPr>
        <sz val="11"/>
        <color theme="1"/>
        <rFont val="Calibri"/>
        <family val="2"/>
      </rPr>
      <t>Unit 2213 Upper ground floor, Expansion wing.
Civic Drive Filinvest Corporate City Alabang, Muntinlupa City</t>
    </r>
  </si>
  <si>
    <r>
      <t xml:space="preserve">EDI-NONOS RAO
</t>
    </r>
    <r>
      <rPr>
        <sz val="11"/>
        <color theme="1"/>
        <rFont val="Calibri"/>
        <family val="2"/>
      </rPr>
      <t>RDU 2 Robinson's Place Antipolo</t>
    </r>
  </si>
  <si>
    <r>
      <t xml:space="preserve">EDI-NONOS SFW
</t>
    </r>
    <r>
      <rPr>
        <sz val="11"/>
        <color theme="1"/>
        <rFont val="Calibri"/>
        <family val="2"/>
      </rPr>
      <t>AX 114 - 115 Ground Floor, SM City Fairview Quirino Highway Q.C</t>
    </r>
  </si>
  <si>
    <r>
      <t xml:space="preserve">EDI-NONOS SGC
</t>
    </r>
    <r>
      <rPr>
        <sz val="11"/>
        <color theme="1"/>
        <rFont val="Calibri"/>
        <family val="2"/>
      </rPr>
      <t>SM grand central munomento Caloocan city</t>
    </r>
  </si>
  <si>
    <t>TOTAL</t>
  </si>
  <si>
    <t>359A2A</t>
  </si>
  <si>
    <t>Ice Cream - Vanilla</t>
  </si>
  <si>
    <t>GAL</t>
  </si>
  <si>
    <t>TUESDAY- SEPT 23</t>
  </si>
  <si>
    <t>CAVITE</t>
  </si>
  <si>
    <t>MAKATI</t>
  </si>
  <si>
    <t>BGC</t>
  </si>
  <si>
    <t>SM BICUTAN</t>
  </si>
  <si>
    <r>
      <t xml:space="preserve">EDI-NONOS VER
</t>
    </r>
    <r>
      <rPr>
        <sz val="11"/>
        <color theme="1"/>
        <rFont val="Calibri"/>
        <family val="2"/>
      </rPr>
      <t>G/F Vermosa Ayala Malls Anabu 1-A Imus , Cavite</t>
    </r>
  </si>
  <si>
    <r>
      <t xml:space="preserve">EDI-NONOS 3CN
</t>
    </r>
    <r>
      <rPr>
        <sz val="11"/>
        <color theme="1"/>
        <rFont val="Calibri"/>
        <family val="2"/>
      </rPr>
      <t>Three Central G/F Paseo Center Paseo de Roxas, Makati City</t>
    </r>
  </si>
  <si>
    <r>
      <t xml:space="preserve">EDI-NONOS RWL
</t>
    </r>
    <r>
      <rPr>
        <sz val="11"/>
        <color theme="1"/>
        <rFont val="Calibri"/>
        <family val="2"/>
      </rPr>
      <t>Stall P1-026, P1 Level, Powerplant Mall, Rockwell Drive cor. Estrella Street, Rockwell Center, Makati</t>
    </r>
  </si>
  <si>
    <r>
      <t xml:space="preserve">EDI-NONOS GLO
</t>
    </r>
    <r>
      <rPr>
        <sz val="11"/>
        <color theme="1"/>
        <rFont val="Calibri"/>
        <family val="2"/>
      </rPr>
      <t>G/F Glorietta 2, Ayala Center, San Lorenzo, Makati City</t>
    </r>
  </si>
  <si>
    <r>
      <t xml:space="preserve">EDI-NONOS KLT
</t>
    </r>
    <r>
      <rPr>
        <sz val="11"/>
        <color theme="1"/>
        <rFont val="Calibri"/>
        <family val="2"/>
      </rPr>
      <t>GF-A and GF-B, KL Mosaic, Ground Floor, Kalaw Ledesma Tower, 117 Gamboa St., Legaspi Village, Makati City</t>
    </r>
  </si>
  <si>
    <r>
      <t xml:space="preserve">EDI-NONOS HSS
</t>
    </r>
    <r>
      <rPr>
        <sz val="11"/>
        <color theme="1"/>
        <rFont val="Calibri"/>
        <family val="2"/>
      </rPr>
      <t>G/F, 26th St. High Street South Tower 1 Bonifacio Global City, Taguig</t>
    </r>
  </si>
  <si>
    <r>
      <t xml:space="preserve">EDI-NONOS UPM
</t>
    </r>
    <r>
      <rPr>
        <sz val="11"/>
        <color theme="1"/>
        <rFont val="Calibri"/>
        <family val="2"/>
      </rPr>
      <t>Unit A4, Upper Ground Floor, Uptown Mall, 9th Avenue corner 36th Street, Uptown Bonifacio, Bonifacio Global City, Taguig City</t>
    </r>
  </si>
  <si>
    <r>
      <t xml:space="preserve">EDI-NONOS SMBIC
</t>
    </r>
    <r>
      <rPr>
        <sz val="11"/>
        <color theme="1"/>
        <rFont val="Calibri"/>
        <family val="2"/>
      </rPr>
      <t>SM Bicutan Bldg B LGF Dona Soledad Ave, Paranaque City</t>
    </r>
  </si>
  <si>
    <t>WEDNESDAY- SEPT 24</t>
  </si>
  <si>
    <t>NUVALI</t>
  </si>
  <si>
    <t>LAGUNA</t>
  </si>
  <si>
    <t>PASIG</t>
  </si>
  <si>
    <t>ORT</t>
  </si>
  <si>
    <t>QC</t>
  </si>
  <si>
    <r>
      <t xml:space="preserve">EDI-NONOS NUV
</t>
    </r>
    <r>
      <rPr>
        <sz val="11"/>
        <color theme="1"/>
        <rFont val="Calibri"/>
        <family val="2"/>
      </rPr>
      <t>GF Ayala Malls Solenad 3 Bldg E, Santa Rosa-Tagaytay Rd,Don Jose, Sta Rosa Laguna</t>
    </r>
  </si>
  <si>
    <r>
      <t xml:space="preserve">EDI-NONOS SSR
</t>
    </r>
    <r>
      <rPr>
        <sz val="11"/>
        <color theme="1"/>
        <rFont val="Calibri"/>
        <family val="2"/>
      </rPr>
      <t>SM City Santa Rosa, Ground Floor Expansion Wing, Old National Highway, Santa Rosa, Laguna</t>
    </r>
  </si>
  <si>
    <r>
      <t xml:space="preserve">EDI-NONOS VIA
</t>
    </r>
    <r>
      <rPr>
        <sz val="11"/>
        <color theme="1"/>
        <rFont val="Calibri"/>
        <family val="2"/>
      </rPr>
      <t>Unit A1C, Phase 2, Arcovia Parade, Arcovia City,E. Rodriguez Jr. Avenue, C 5 Road, Pasig City</t>
    </r>
  </si>
  <si>
    <r>
      <t xml:space="preserve">EDI-NONOS PDM
</t>
    </r>
    <r>
      <rPr>
        <sz val="11"/>
        <color theme="1"/>
        <rFont val="Calibri"/>
        <family val="2"/>
      </rPr>
      <t>2nd Level, The Podium Mall, 12 ADB Ave., Ortigas Center, Mandaluyong City</t>
    </r>
  </si>
  <si>
    <r>
      <t xml:space="preserve">EDI-NONOS UTC
</t>
    </r>
    <r>
      <rPr>
        <sz val="11"/>
        <color theme="1"/>
        <rFont val="Calibri"/>
        <family val="2"/>
      </rPr>
      <t>Level 1, Phase 1B, U.P. Town Centerz</t>
    </r>
  </si>
  <si>
    <r>
      <t xml:space="preserve">EDI-NONOS GWM
</t>
    </r>
    <r>
      <rPr>
        <sz val="11"/>
        <color theme="1"/>
        <rFont val="Calibri"/>
        <family val="2"/>
      </rPr>
      <t>G/f gateway mall 2</t>
    </r>
  </si>
  <si>
    <r>
      <t xml:space="preserve">EDI-NONOS ROB GAL
</t>
    </r>
    <r>
      <rPr>
        <sz val="11"/>
        <color theme="1"/>
        <rFont val="Calibri"/>
        <family val="2"/>
      </rPr>
      <t>G/f Robinsons Galleria Ortigas Ave Brgy Ugong Norte QC</t>
    </r>
  </si>
  <si>
    <t>THURSDAY- SEPT 25</t>
  </si>
  <si>
    <r>
      <t xml:space="preserve">EDI-NONOS OPUS
</t>
    </r>
    <r>
      <rPr>
        <sz val="11"/>
        <color theme="1"/>
        <rFont val="Calibri"/>
        <family val="2"/>
      </rPr>
      <t>LVL 3 OPUS Mall Bridgetown Blvd Cor c5 Rd Ugong Norte Birdgetown Estate QC</t>
    </r>
  </si>
  <si>
    <t>FRIDAY- SEPT 26</t>
  </si>
  <si>
    <t>SATURDAY- SEPT 27</t>
  </si>
  <si>
    <r>
      <t xml:space="preserve">EDI-NONOS CIRCUIT LANE
</t>
    </r>
    <r>
      <rPr>
        <sz val="11"/>
        <color theme="1"/>
        <rFont val="Calibri"/>
        <family val="2"/>
      </rPr>
      <t>Ayala Malls Circuit Lane Makati City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</si>
</sst>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5" xfId="0" applyFont="1" applyBorder="1" applyAlignment="1">
      <alignment wrapText="1"/>
    </xf>
    <xf numFmtId="0" fontId="4" fillId="3" borderId="7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5" borderId="5" xfId="0" applyFont="1" applyFill="1" applyBorder="1" applyAlignment="1">
      <alignment wrapText="1"/>
    </xf>
    <xf numFmtId="0" fontId="2" fillId="5" borderId="8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7" fillId="2" borderId="7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2" fillId="0" borderId="5" xfId="0" applyFont="1" applyBorder="1" applyAlignment="1"/>
    <xf numFmtId="0" fontId="0" fillId="0" borderId="0" xfId="0" applyAlignment="1"/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7" xfId="0" applyFont="1" applyBorder="1" applyAlignment="1"/>
    <xf numFmtId="0" fontId="2" fillId="0" borderId="7" xfId="0" applyFont="1" applyBorder="1" applyAlignment="1">
      <alignment horizontal="center"/>
    </xf>
    <xf numFmtId="0" fontId="2" fillId="5" borderId="5" xfId="0" applyFont="1" applyFill="1" applyBorder="1" applyAlignment="1"/>
    <xf numFmtId="0" fontId="2" fillId="5" borderId="8" xfId="0" applyFont="1" applyFill="1" applyBorder="1" applyAlignment="1"/>
    <xf numFmtId="0" fontId="2" fillId="0" borderId="8" xfId="0" applyFont="1" applyBorder="1" applyAlignment="1"/>
    <xf numFmtId="0" fontId="8" fillId="0" borderId="8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C726-834E-41CC-9F2D-01D19CFED008}">
  <dimension ref="A1:L25"/>
  <sheetViews>
    <sheetView tabSelected="1" workbookViewId="0">
      <selection activeCell="D6" sqref="D6"/>
    </sheetView>
  </sheetViews>
  <sheetFormatPr defaultRowHeight="15" x14ac:dyDescent="0.25"/>
  <cols>
    <col min="1" max="1" width="14.140625" style="13" bestFit="1" customWidth="1"/>
    <col min="2" max="2" width="23.5703125" style="13" bestFit="1" customWidth="1"/>
    <col min="3" max="3" width="6.5703125" style="13" bestFit="1" customWidth="1"/>
    <col min="4" max="4" width="30.85546875" style="13" customWidth="1"/>
    <col min="5" max="5" width="17.7109375" style="13" bestFit="1" customWidth="1"/>
    <col min="6" max="6" width="17.5703125" style="13" bestFit="1" customWidth="1"/>
    <col min="7" max="8" width="17.85546875" style="13" bestFit="1" customWidth="1"/>
    <col min="9" max="9" width="18.7109375" style="13" bestFit="1" customWidth="1"/>
    <col min="10" max="10" width="26.42578125" style="13" bestFit="1" customWidth="1"/>
    <col min="11" max="11" width="21.85546875" style="13" bestFit="1" customWidth="1"/>
    <col min="12" max="12" width="10.7109375" style="13" customWidth="1"/>
    <col min="13" max="16384" width="9.140625" style="13"/>
  </cols>
  <sheetData>
    <row r="1" spans="1:12" ht="17.25" thickBot="1" x14ac:dyDescent="0.3">
      <c r="A1" s="25" t="s">
        <v>0</v>
      </c>
      <c r="B1" s="26"/>
      <c r="C1" s="27"/>
      <c r="D1" s="11" t="s">
        <v>1</v>
      </c>
      <c r="E1" s="11" t="s">
        <v>2</v>
      </c>
      <c r="F1" s="11" t="s">
        <v>2</v>
      </c>
      <c r="G1" s="11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2"/>
    </row>
    <row r="2" spans="1:12" ht="136.5" thickBot="1" x14ac:dyDescent="0.3">
      <c r="A2" s="14" t="s">
        <v>7</v>
      </c>
      <c r="B2" s="15" t="s">
        <v>8</v>
      </c>
      <c r="C2" s="15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16" t="s">
        <v>18</v>
      </c>
    </row>
    <row r="3" spans="1:12" ht="16.5" thickBot="1" x14ac:dyDescent="0.3">
      <c r="A3" s="17" t="s">
        <v>19</v>
      </c>
      <c r="B3" s="18" t="s">
        <v>20</v>
      </c>
      <c r="C3" s="18" t="s">
        <v>21</v>
      </c>
      <c r="D3" s="3"/>
      <c r="E3" s="3"/>
      <c r="F3" s="3"/>
      <c r="G3" s="4">
        <v>5</v>
      </c>
      <c r="H3" s="4">
        <v>8</v>
      </c>
      <c r="I3" s="4">
        <v>5</v>
      </c>
      <c r="J3" s="3"/>
      <c r="K3" s="3"/>
      <c r="L3" s="20">
        <f>SUM(D3:K3)</f>
        <v>18</v>
      </c>
    </row>
    <row r="4" spans="1:12" ht="15.75" thickBot="1" x14ac:dyDescent="0.3">
      <c r="A4" s="21"/>
      <c r="B4" s="21"/>
      <c r="C4" s="21"/>
      <c r="D4" s="5"/>
      <c r="E4" s="5"/>
      <c r="F4" s="5"/>
      <c r="G4" s="6"/>
      <c r="H4" s="5"/>
      <c r="I4" s="5"/>
      <c r="J4" s="5"/>
      <c r="K4" s="5"/>
      <c r="L4" s="22"/>
    </row>
    <row r="5" spans="1:12" ht="17.25" thickBot="1" x14ac:dyDescent="0.3">
      <c r="A5" s="25" t="s">
        <v>22</v>
      </c>
      <c r="B5" s="26"/>
      <c r="C5" s="27"/>
      <c r="D5" s="7" t="s">
        <v>23</v>
      </c>
      <c r="E5" s="7" t="s">
        <v>24</v>
      </c>
      <c r="F5" s="7" t="s">
        <v>24</v>
      </c>
      <c r="G5" s="7" t="s">
        <v>24</v>
      </c>
      <c r="H5" s="7" t="s">
        <v>24</v>
      </c>
      <c r="I5" s="7" t="s">
        <v>25</v>
      </c>
      <c r="J5" s="7" t="s">
        <v>25</v>
      </c>
      <c r="K5" s="7" t="s">
        <v>26</v>
      </c>
      <c r="L5" s="12"/>
    </row>
    <row r="6" spans="1:12" ht="121.5" thickBot="1" x14ac:dyDescent="0.3">
      <c r="A6" s="14" t="s">
        <v>7</v>
      </c>
      <c r="B6" s="15" t="s">
        <v>8</v>
      </c>
      <c r="C6" s="15" t="s">
        <v>9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16" t="s">
        <v>18</v>
      </c>
    </row>
    <row r="7" spans="1:12" ht="16.5" thickBot="1" x14ac:dyDescent="0.3">
      <c r="A7" s="17" t="s">
        <v>19</v>
      </c>
      <c r="B7" s="18" t="s">
        <v>20</v>
      </c>
      <c r="C7" s="18" t="s">
        <v>21</v>
      </c>
      <c r="D7" s="4">
        <v>5</v>
      </c>
      <c r="E7" s="3"/>
      <c r="F7" s="3"/>
      <c r="G7" s="3"/>
      <c r="H7" s="3"/>
      <c r="I7" s="3"/>
      <c r="J7" s="3"/>
      <c r="K7" s="3"/>
      <c r="L7" s="20">
        <f>SUM(D7:K7)</f>
        <v>5</v>
      </c>
    </row>
    <row r="8" spans="1:12" ht="15.75" thickBot="1" x14ac:dyDescent="0.3">
      <c r="A8" s="12"/>
      <c r="B8" s="12"/>
      <c r="C8" s="12"/>
      <c r="D8" s="1"/>
      <c r="E8" s="1"/>
      <c r="F8" s="1"/>
      <c r="G8" s="1"/>
      <c r="H8" s="1"/>
      <c r="I8" s="1"/>
      <c r="J8" s="1"/>
      <c r="K8" s="1"/>
      <c r="L8" s="23"/>
    </row>
    <row r="9" spans="1:12" ht="17.25" thickBot="1" x14ac:dyDescent="0.3">
      <c r="A9" s="25" t="s">
        <v>35</v>
      </c>
      <c r="B9" s="26"/>
      <c r="C9" s="27"/>
      <c r="D9" s="7" t="s">
        <v>1</v>
      </c>
      <c r="E9" s="7" t="s">
        <v>36</v>
      </c>
      <c r="F9" s="7" t="s">
        <v>37</v>
      </c>
      <c r="G9" s="7" t="s">
        <v>38</v>
      </c>
      <c r="H9" s="7" t="s">
        <v>39</v>
      </c>
      <c r="I9" s="7" t="s">
        <v>40</v>
      </c>
      <c r="J9" s="7" t="s">
        <v>40</v>
      </c>
      <c r="K9" s="7" t="s">
        <v>40</v>
      </c>
      <c r="L9" s="12"/>
    </row>
    <row r="10" spans="1:12" ht="121.5" thickBot="1" x14ac:dyDescent="0.3">
      <c r="A10" s="14" t="s">
        <v>7</v>
      </c>
      <c r="B10" s="15" t="s">
        <v>8</v>
      </c>
      <c r="C10" s="15" t="s">
        <v>9</v>
      </c>
      <c r="D10" s="2" t="s">
        <v>10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45</v>
      </c>
      <c r="J10" s="2" t="s">
        <v>46</v>
      </c>
      <c r="K10" s="2" t="s">
        <v>47</v>
      </c>
      <c r="L10" s="16" t="s">
        <v>18</v>
      </c>
    </row>
    <row r="11" spans="1:12" ht="16.5" thickBot="1" x14ac:dyDescent="0.3">
      <c r="A11" s="17" t="s">
        <v>19</v>
      </c>
      <c r="B11" s="18" t="s">
        <v>20</v>
      </c>
      <c r="C11" s="18" t="s">
        <v>21</v>
      </c>
      <c r="D11" s="3"/>
      <c r="E11" s="3"/>
      <c r="F11" s="3"/>
      <c r="G11" s="3"/>
      <c r="H11" s="4">
        <v>5</v>
      </c>
      <c r="I11" s="3"/>
      <c r="J11" s="4">
        <v>0</v>
      </c>
      <c r="K11" s="3"/>
      <c r="L11" s="20">
        <f>SUM(D11:K11)</f>
        <v>5</v>
      </c>
    </row>
    <row r="12" spans="1:12" ht="15.75" thickBot="1" x14ac:dyDescent="0.3">
      <c r="A12" s="12"/>
      <c r="B12" s="12"/>
      <c r="C12" s="12"/>
      <c r="D12" s="1"/>
      <c r="E12" s="1"/>
      <c r="F12" s="1"/>
      <c r="G12" s="1"/>
      <c r="H12" s="1"/>
      <c r="I12" s="1"/>
      <c r="J12" s="1"/>
      <c r="K12" s="1"/>
      <c r="L12" s="23"/>
    </row>
    <row r="13" spans="1:12" ht="17.25" thickBot="1" x14ac:dyDescent="0.3">
      <c r="A13" s="28" t="s">
        <v>48</v>
      </c>
      <c r="B13" s="29"/>
      <c r="C13" s="30"/>
      <c r="D13" s="9" t="s">
        <v>2</v>
      </c>
      <c r="E13" s="9" t="s">
        <v>2</v>
      </c>
      <c r="F13" s="9" t="s">
        <v>2</v>
      </c>
      <c r="G13" s="9" t="s">
        <v>3</v>
      </c>
      <c r="H13" s="9" t="s">
        <v>4</v>
      </c>
      <c r="I13" s="9" t="s">
        <v>40</v>
      </c>
      <c r="J13" s="9" t="s">
        <v>6</v>
      </c>
      <c r="K13" s="7" t="s">
        <v>40</v>
      </c>
      <c r="L13" s="12"/>
    </row>
    <row r="14" spans="1:12" ht="136.5" thickBot="1" x14ac:dyDescent="0.3">
      <c r="A14" s="14" t="s">
        <v>7</v>
      </c>
      <c r="B14" s="15" t="s">
        <v>8</v>
      </c>
      <c r="C14" s="15" t="s">
        <v>9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  <c r="K14" s="2" t="s">
        <v>49</v>
      </c>
      <c r="L14" s="16" t="s">
        <v>18</v>
      </c>
    </row>
    <row r="15" spans="1:12" ht="16.5" thickBot="1" x14ac:dyDescent="0.3">
      <c r="A15" s="17" t="s">
        <v>19</v>
      </c>
      <c r="B15" s="18" t="s">
        <v>20</v>
      </c>
      <c r="C15" s="18" t="s">
        <v>21</v>
      </c>
      <c r="D15" s="3"/>
      <c r="E15" s="3"/>
      <c r="F15" s="3"/>
      <c r="G15" s="3"/>
      <c r="H15" s="4">
        <v>0</v>
      </c>
      <c r="I15" s="3"/>
      <c r="J15" s="3"/>
      <c r="K15" s="3"/>
      <c r="L15" s="20">
        <f>SUM(D15:K15)</f>
        <v>0</v>
      </c>
    </row>
    <row r="16" spans="1:12" ht="15.75" thickBot="1" x14ac:dyDescent="0.3">
      <c r="A16" s="12"/>
      <c r="B16" s="12"/>
      <c r="C16" s="12"/>
      <c r="D16" s="1"/>
      <c r="E16" s="1"/>
      <c r="F16" s="8"/>
      <c r="G16" s="8"/>
      <c r="H16" s="8"/>
      <c r="I16" s="8"/>
      <c r="J16" s="1"/>
      <c r="K16" s="1"/>
      <c r="L16" s="12"/>
    </row>
    <row r="17" spans="1:12" ht="17.25" thickBot="1" x14ac:dyDescent="0.3">
      <c r="A17" s="25" t="s">
        <v>50</v>
      </c>
      <c r="B17" s="26"/>
      <c r="C17" s="27"/>
      <c r="D17" s="7" t="s">
        <v>1</v>
      </c>
      <c r="E17" s="7" t="s">
        <v>23</v>
      </c>
      <c r="F17" s="10" t="s">
        <v>24</v>
      </c>
      <c r="G17" s="10" t="s">
        <v>24</v>
      </c>
      <c r="H17" s="10" t="s">
        <v>24</v>
      </c>
      <c r="I17" s="7" t="s">
        <v>24</v>
      </c>
      <c r="J17" s="7" t="s">
        <v>25</v>
      </c>
      <c r="K17" s="7" t="s">
        <v>25</v>
      </c>
      <c r="L17" s="19"/>
    </row>
    <row r="18" spans="1:12" ht="121.5" thickBot="1" x14ac:dyDescent="0.3">
      <c r="A18" s="14" t="s">
        <v>7</v>
      </c>
      <c r="B18" s="15" t="s">
        <v>8</v>
      </c>
      <c r="C18" s="15" t="s">
        <v>9</v>
      </c>
      <c r="D18" s="2" t="s">
        <v>10</v>
      </c>
      <c r="E18" s="2" t="s">
        <v>27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32</v>
      </c>
      <c r="K18" s="2" t="s">
        <v>33</v>
      </c>
      <c r="L18" s="16" t="s">
        <v>18</v>
      </c>
    </row>
    <row r="19" spans="1:12" ht="16.5" thickBot="1" x14ac:dyDescent="0.3">
      <c r="A19" s="17" t="s">
        <v>19</v>
      </c>
      <c r="B19" s="18" t="s">
        <v>20</v>
      </c>
      <c r="C19" s="18" t="s">
        <v>21</v>
      </c>
      <c r="D19" s="3"/>
      <c r="E19" s="3"/>
      <c r="F19" s="3"/>
      <c r="G19" s="3"/>
      <c r="H19" s="3"/>
      <c r="I19" s="3"/>
      <c r="J19" s="3"/>
      <c r="K19" s="3"/>
      <c r="L19" s="20">
        <f>SUM(D19:K19)</f>
        <v>0</v>
      </c>
    </row>
    <row r="20" spans="1:12" ht="15.75" thickBot="1" x14ac:dyDescent="0.3">
      <c r="A20" s="12"/>
      <c r="B20" s="12"/>
      <c r="C20" s="12"/>
      <c r="D20" s="1"/>
      <c r="E20" s="1"/>
      <c r="F20" s="1"/>
      <c r="G20" s="1"/>
      <c r="H20" s="1"/>
      <c r="I20" s="1"/>
      <c r="J20" s="1"/>
      <c r="K20" s="1"/>
      <c r="L20" s="23"/>
    </row>
    <row r="21" spans="1:12" ht="17.25" thickBot="1" x14ac:dyDescent="0.3">
      <c r="A21" s="25" t="s">
        <v>51</v>
      </c>
      <c r="B21" s="26"/>
      <c r="C21" s="27"/>
      <c r="D21" s="7" t="s">
        <v>36</v>
      </c>
      <c r="E21" s="7" t="s">
        <v>37</v>
      </c>
      <c r="F21" s="7" t="s">
        <v>38</v>
      </c>
      <c r="G21" s="7" t="s">
        <v>39</v>
      </c>
      <c r="H21" s="7" t="s">
        <v>40</v>
      </c>
      <c r="I21" s="7" t="s">
        <v>40</v>
      </c>
      <c r="J21" s="7" t="s">
        <v>24</v>
      </c>
      <c r="K21" s="7" t="s">
        <v>26</v>
      </c>
      <c r="L21" s="12"/>
    </row>
    <row r="22" spans="1:12" ht="121.5" thickBot="1" x14ac:dyDescent="0.3">
      <c r="A22" s="14" t="s">
        <v>7</v>
      </c>
      <c r="B22" s="15" t="s">
        <v>8</v>
      </c>
      <c r="C22" s="15" t="s">
        <v>9</v>
      </c>
      <c r="D22" s="2" t="s">
        <v>41</v>
      </c>
      <c r="E22" s="2" t="s">
        <v>42</v>
      </c>
      <c r="F22" s="2" t="s">
        <v>43</v>
      </c>
      <c r="G22" s="2" t="s">
        <v>44</v>
      </c>
      <c r="H22" s="2" t="s">
        <v>45</v>
      </c>
      <c r="I22" s="2" t="s">
        <v>46</v>
      </c>
      <c r="J22" s="2" t="s">
        <v>52</v>
      </c>
      <c r="K22" s="2" t="s">
        <v>34</v>
      </c>
      <c r="L22" s="16" t="s">
        <v>18</v>
      </c>
    </row>
    <row r="23" spans="1:12" ht="16.5" thickBot="1" x14ac:dyDescent="0.3">
      <c r="A23" s="17" t="s">
        <v>19</v>
      </c>
      <c r="B23" s="18" t="s">
        <v>20</v>
      </c>
      <c r="C23" s="18" t="s">
        <v>21</v>
      </c>
      <c r="D23" s="3"/>
      <c r="E23" s="3"/>
      <c r="F23" s="3"/>
      <c r="G23" s="3"/>
      <c r="H23" s="3"/>
      <c r="I23" s="4">
        <v>5</v>
      </c>
      <c r="J23" s="4">
        <v>5</v>
      </c>
      <c r="K23" s="3"/>
      <c r="L23" s="20">
        <f>SUM(D23:K23)</f>
        <v>10</v>
      </c>
    </row>
    <row r="24" spans="1:12" ht="15.75" thickBo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ht="18.75" thickBot="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4">
        <f>SUM(L23,L19,L15,L11,L7,L3)</f>
        <v>38</v>
      </c>
    </row>
  </sheetData>
  <mergeCells count="6">
    <mergeCell ref="A21:C21"/>
    <mergeCell ref="A1:C1"/>
    <mergeCell ref="A5:C5"/>
    <mergeCell ref="A9:C9"/>
    <mergeCell ref="A13:C13"/>
    <mergeCell ref="A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2025-10-04T08:00:22Z</dcterms:created>
  <dcterms:modified xsi:type="dcterms:W3CDTF">2025-10-05T14:37:20Z</dcterms:modified>
</cp:coreProperties>
</file>