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N-Inv List" sheetId="1" r:id="rId4"/>
  </sheets>
  <definedNames>
    <definedName hidden="1" localSheetId="0" name="_xlnm._FilterDatabase">'NN-Inv List'!$A$5:$L$1645</definedName>
  </definedNames>
  <calcPr/>
  <extLst>
    <ext uri="GoogleSheetsCustomDataVersion2">
      <go:sheetsCustomData xmlns:go="http://customooxmlschemas.google.com/" r:id="rId5" roundtripDataChecksum="EktbP3FXM2NK0oxdsrCVz5LzSmWUMDsA/FRTZvRSz7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96">
      <text>
        <t xml:space="preserve">======
ID#AAABYpVnBH0
Carissa Banzon    (2024-11-21 13:53:29)
approved sole rm</t>
      </text>
    </comment>
  </commentList>
  <extLst>
    <ext uri="GoogleSheetsCustomDataVersion2">
      <go:sheetsCustomData xmlns:go="http://customooxmlschemas.google.com/" r:id="rId1" roundtripDataSignature="AMtx7mhYusiwLdAewNLxXdnWwfhdp9zWBA=="/>
    </ext>
  </extLst>
</comments>
</file>

<file path=xl/sharedStrings.xml><?xml version="1.0" encoding="utf-8"?>
<sst xmlns="http://schemas.openxmlformats.org/spreadsheetml/2006/main" count="8877" uniqueCount="3219">
  <si>
    <t>NONO's</t>
  </si>
  <si>
    <t>Inventory Lists</t>
  </si>
  <si>
    <t>July 2024</t>
  </si>
  <si>
    <t>Status</t>
  </si>
  <si>
    <t>Barcode</t>
  </si>
  <si>
    <t>Inventory Name</t>
  </si>
  <si>
    <t>Inventory ID</t>
  </si>
  <si>
    <t>Brand</t>
  </si>
  <si>
    <t>Category - A</t>
  </si>
  <si>
    <t>Category - B</t>
  </si>
  <si>
    <t>Packaging</t>
  </si>
  <si>
    <t>Conversion</t>
  </si>
  <si>
    <t>UOM</t>
  </si>
  <si>
    <t>Cost - JUL 2024</t>
  </si>
  <si>
    <t>SRP</t>
  </si>
  <si>
    <t>GSI ITEMS</t>
  </si>
  <si>
    <t>Active</t>
  </si>
  <si>
    <t>All Purpose Cream</t>
  </si>
  <si>
    <t>105A2A</t>
  </si>
  <si>
    <t>FOOD</t>
  </si>
  <si>
    <t>LIT</t>
  </si>
  <si>
    <t>Almond Crunch 130g</t>
  </si>
  <si>
    <t>101D9A</t>
  </si>
  <si>
    <t>PACK</t>
  </si>
  <si>
    <t>Almond Crunch 250g</t>
  </si>
  <si>
    <t>102D9A</t>
  </si>
  <si>
    <t>Almond Crunch 350g</t>
  </si>
  <si>
    <t>103D9A</t>
  </si>
  <si>
    <t>Almond Crunch 450g</t>
  </si>
  <si>
    <t>104D9A</t>
  </si>
  <si>
    <t>CAN</t>
  </si>
  <si>
    <t>Almond Crunch Shortbread (pack of 20)</t>
  </si>
  <si>
    <t>106D9A</t>
  </si>
  <si>
    <t>Almonds Sliced</t>
  </si>
  <si>
    <t>107A2A</t>
  </si>
  <si>
    <t>KG</t>
  </si>
  <si>
    <t>Almonds Whole Raw</t>
  </si>
  <si>
    <t>108A2A</t>
  </si>
  <si>
    <t>Aluminum Foil</t>
  </si>
  <si>
    <t>109A2A</t>
  </si>
  <si>
    <t>Dry Goods</t>
  </si>
  <si>
    <t>OPERATING SUPPLIES</t>
  </si>
  <si>
    <t>PC</t>
  </si>
  <si>
    <t>932A2E</t>
  </si>
  <si>
    <t>ROLL</t>
  </si>
  <si>
    <t>Aluminum Rectangular Tray 32.2x26x5cm</t>
  </si>
  <si>
    <t>111A2A</t>
  </si>
  <si>
    <t>SMALLWARES</t>
  </si>
  <si>
    <t>Aluminum Square Tray</t>
  </si>
  <si>
    <t>830A2C</t>
  </si>
  <si>
    <t>Anchovies</t>
  </si>
  <si>
    <t>114A2A</t>
  </si>
  <si>
    <t>Aperol 700ml</t>
  </si>
  <si>
    <t>246A2F</t>
  </si>
  <si>
    <t>BEVERAGE</t>
  </si>
  <si>
    <t>Apple Pie</t>
  </si>
  <si>
    <t>107D9A</t>
  </si>
  <si>
    <t>WHOLE</t>
  </si>
  <si>
    <t>Atchara - Papaya</t>
  </si>
  <si>
    <t>115A2A</t>
  </si>
  <si>
    <t>OZ</t>
  </si>
  <si>
    <t>939A2E</t>
  </si>
  <si>
    <t>Baby Clams</t>
  </si>
  <si>
    <t>848A2E</t>
  </si>
  <si>
    <t>Bacardi</t>
  </si>
  <si>
    <t>116A2A</t>
  </si>
  <si>
    <t>Bacon (1)</t>
  </si>
  <si>
    <t>117A2A</t>
  </si>
  <si>
    <t>Bacon, Smoked</t>
  </si>
  <si>
    <t>996A2E</t>
  </si>
  <si>
    <t>Bagoong</t>
  </si>
  <si>
    <t>119A2A</t>
  </si>
  <si>
    <t>Baking Powder</t>
  </si>
  <si>
    <t>120A2A</t>
  </si>
  <si>
    <t>Baking Soda</t>
  </si>
  <si>
    <t>121A2A</t>
  </si>
  <si>
    <t>Balsamic BBQ Sauce 1 kg.</t>
  </si>
  <si>
    <t>353D9A</t>
  </si>
  <si>
    <t>Bamboo Slider</t>
  </si>
  <si>
    <t>122A2A</t>
  </si>
  <si>
    <t>Banana Cream Pie Crust - Large</t>
  </si>
  <si>
    <t>109D9A</t>
  </si>
  <si>
    <t>Banana Cream Pie Crust - Small</t>
  </si>
  <si>
    <t>110D9A</t>
  </si>
  <si>
    <t>Basil Dry</t>
  </si>
  <si>
    <t>124A2A</t>
  </si>
  <si>
    <t>Basil in Oil 120g</t>
  </si>
  <si>
    <t>112D9A</t>
  </si>
  <si>
    <t>Bay Leaf</t>
  </si>
  <si>
    <t>126A2A</t>
  </si>
  <si>
    <t>Beef Belly Trimmings</t>
  </si>
  <si>
    <t>113D9A</t>
  </si>
  <si>
    <t>Beef Bouillon Cube</t>
  </si>
  <si>
    <t>127A2A</t>
  </si>
  <si>
    <t>Beef Gravy</t>
  </si>
  <si>
    <t>114D9A</t>
  </si>
  <si>
    <t>Beef Stock 1L</t>
  </si>
  <si>
    <t>296D9A</t>
  </si>
  <si>
    <t>Beef Tapa</t>
  </si>
  <si>
    <t>128A2A</t>
  </si>
  <si>
    <t>Beer - Heineken</t>
  </si>
  <si>
    <t>129A2A</t>
  </si>
  <si>
    <t>BEER - SMB Light</t>
  </si>
  <si>
    <t>130A2A</t>
  </si>
  <si>
    <t>BEER - SMB Pale Pilsen</t>
  </si>
  <si>
    <t>131A2A</t>
  </si>
  <si>
    <t>Beer Batter Mixture</t>
  </si>
  <si>
    <t>862A2C</t>
  </si>
  <si>
    <t>Berry Chocolate Mousse</t>
  </si>
  <si>
    <t>261D9A</t>
  </si>
  <si>
    <t>Whole</t>
  </si>
  <si>
    <t>Bicol Express- Santol 8oz</t>
  </si>
  <si>
    <t>184A2F</t>
  </si>
  <si>
    <t>BOT</t>
  </si>
  <si>
    <t>Bihon</t>
  </si>
  <si>
    <t>132A2A</t>
  </si>
  <si>
    <t>Bistro - Bacon Strip</t>
  </si>
  <si>
    <t>871A2C</t>
  </si>
  <si>
    <t>Bistro - Butter unsalted 500g</t>
  </si>
  <si>
    <t>872A2C</t>
  </si>
  <si>
    <t>Bistro - CCI BROWNIE COOKIE (Uncooked)</t>
  </si>
  <si>
    <t>115D9A</t>
  </si>
  <si>
    <t>Bistro - CCI Chocolate Chip Cookies (Uncooked)</t>
  </si>
  <si>
    <t>116D9A</t>
  </si>
  <si>
    <t>Bistro - CCI Double Chocolate Chip Cookies (Uncooked)</t>
  </si>
  <si>
    <t>117D9A</t>
  </si>
  <si>
    <t>Bistro - Spaghetti Pasta</t>
  </si>
  <si>
    <t>874A2C</t>
  </si>
  <si>
    <t>Black Beans</t>
  </si>
  <si>
    <t>133A2A</t>
  </si>
  <si>
    <t>Black Olives Sliced</t>
  </si>
  <si>
    <t>134A2A</t>
  </si>
  <si>
    <t>Blueberry Bagel 3pcs/pack</t>
  </si>
  <si>
    <t>253D9A</t>
  </si>
  <si>
    <t>pack</t>
  </si>
  <si>
    <t>Blueberry Cheesecake</t>
  </si>
  <si>
    <t>118D9A</t>
  </si>
  <si>
    <t>Blueberry Cheesecake 8" (Nono's)</t>
  </si>
  <si>
    <t>119D9A</t>
  </si>
  <si>
    <t>Blueberry Filling (1)</t>
  </si>
  <si>
    <t>136A2A</t>
  </si>
  <si>
    <t>Blueberry Filling, Large</t>
  </si>
  <si>
    <t>998A2E</t>
  </si>
  <si>
    <t>Blueberry Scones - pc</t>
  </si>
  <si>
    <t>121D9A</t>
  </si>
  <si>
    <t>Boiled Pork Belly</t>
  </si>
  <si>
    <t>316D9A</t>
  </si>
  <si>
    <t>Bolognese Sauce 150g</t>
  </si>
  <si>
    <t>122D9A</t>
  </si>
  <si>
    <t>Box - Cake Box 10"</t>
  </si>
  <si>
    <t>141A2A</t>
  </si>
  <si>
    <t>Box - Cake Box Small, Nono's</t>
  </si>
  <si>
    <t>142A2A</t>
  </si>
  <si>
    <t>Box - Pastry (1)</t>
  </si>
  <si>
    <t>144A2A</t>
  </si>
  <si>
    <t>Box - Pizza 14"</t>
  </si>
  <si>
    <t>147A2A</t>
  </si>
  <si>
    <t>Box - Take-Out Large, NONO's</t>
  </si>
  <si>
    <t>149A2A</t>
  </si>
  <si>
    <t>Box - Take-Out Small, NONO's</t>
  </si>
  <si>
    <t>150A2A</t>
  </si>
  <si>
    <t>Bread Salt</t>
  </si>
  <si>
    <t>208A2D</t>
  </si>
  <si>
    <t>Breading Flour for Chicken</t>
  </si>
  <si>
    <t>863A2C</t>
  </si>
  <si>
    <t>Breading for Chicken</t>
  </si>
  <si>
    <t>263D9A</t>
  </si>
  <si>
    <t>Breakfast Sausage</t>
  </si>
  <si>
    <t>159A2A</t>
  </si>
  <si>
    <t>Brioche Loaf</t>
  </si>
  <si>
    <t>124D9A</t>
  </si>
  <si>
    <t>LOAF</t>
  </si>
  <si>
    <t>Brioche Loaf (nnklt)</t>
  </si>
  <si>
    <t>990A2C</t>
  </si>
  <si>
    <t>Brioche Sucre</t>
  </si>
  <si>
    <t>991A2C</t>
  </si>
  <si>
    <t>Brochure - Take Out Menu, Nono's</t>
  </si>
  <si>
    <t>251A2F</t>
  </si>
  <si>
    <t>MKTG</t>
  </si>
  <si>
    <t>Burger Bun - mini</t>
  </si>
  <si>
    <t>NO SAP CODE 51</t>
  </si>
  <si>
    <t>Burger Bun (Pack of 6)</t>
  </si>
  <si>
    <t>992A2C</t>
  </si>
  <si>
    <t>Burnt Basque Cheesecake</t>
  </si>
  <si>
    <t>287D9A</t>
  </si>
  <si>
    <t>Butane Gas</t>
  </si>
  <si>
    <t>160A2A</t>
  </si>
  <si>
    <t>Butter - Unsalted</t>
  </si>
  <si>
    <t>162A2A</t>
  </si>
  <si>
    <t>Butter Croissant</t>
  </si>
  <si>
    <t>993A2C</t>
  </si>
  <si>
    <t>Butter Croissant (pack of 4)</t>
  </si>
  <si>
    <t>302D9A</t>
  </si>
  <si>
    <t>Cake Accetate 2.5</t>
  </si>
  <si>
    <t>944A2E</t>
  </si>
  <si>
    <t>PC(50)</t>
  </si>
  <si>
    <t>Cake Accetate 2.5"</t>
  </si>
  <si>
    <t>168A2A</t>
  </si>
  <si>
    <t>Cake Accetate 3</t>
  </si>
  <si>
    <t>940A2E</t>
  </si>
  <si>
    <t>Cake Accetate 3"</t>
  </si>
  <si>
    <t>169A2A</t>
  </si>
  <si>
    <t>Cake Board #10</t>
  </si>
  <si>
    <t>170A2A</t>
  </si>
  <si>
    <t>Cake Board #4.5</t>
  </si>
  <si>
    <t>171A2A</t>
  </si>
  <si>
    <t>Cake Board #8</t>
  </si>
  <si>
    <t>172A2A</t>
  </si>
  <si>
    <t>Cake Box - Individual Cake, NONO'S</t>
  </si>
  <si>
    <t>767A2C</t>
  </si>
  <si>
    <t>Calamansi Pie</t>
  </si>
  <si>
    <t>286D9A</t>
  </si>
  <si>
    <t>Candied Walnuts 500g/pack</t>
  </si>
  <si>
    <t>282D9A</t>
  </si>
  <si>
    <t>CANDLE - Spiral Big</t>
  </si>
  <si>
    <t>180A2A</t>
  </si>
  <si>
    <t>957A2E</t>
  </si>
  <si>
    <t>PACK(10)</t>
  </si>
  <si>
    <t>CANDLE - Spiral Small</t>
  </si>
  <si>
    <t>181A2A</t>
  </si>
  <si>
    <t>956A2E</t>
  </si>
  <si>
    <t>PACK(24)</t>
  </si>
  <si>
    <t>Capers Vinegar</t>
  </si>
  <si>
    <t>182A2A</t>
  </si>
  <si>
    <t>Caramel Sauce 200g (for NN drinks)</t>
  </si>
  <si>
    <t>238D9A</t>
  </si>
  <si>
    <t>Caramel Sauce 300g</t>
  </si>
  <si>
    <t>126D9A</t>
  </si>
  <si>
    <t>Carrot Loaf</t>
  </si>
  <si>
    <t>129D9A</t>
  </si>
  <si>
    <t>Carrot Loaf Sliced (13-14 slices)</t>
  </si>
  <si>
    <t>127D9A</t>
  </si>
  <si>
    <t>Carrot Walnut Loaf</t>
  </si>
  <si>
    <t>308D9A</t>
  </si>
  <si>
    <t>Cashew Split</t>
  </si>
  <si>
    <t>184A2A</t>
  </si>
  <si>
    <t>CCI Pandesal</t>
  </si>
  <si>
    <t>130D9A</t>
  </si>
  <si>
    <t>Cheese - Cheddar Sliced (1)</t>
  </si>
  <si>
    <t>185A2A</t>
  </si>
  <si>
    <t>Cheese - Feta</t>
  </si>
  <si>
    <t>187A2A</t>
  </si>
  <si>
    <t>Cheese - Gruyere</t>
  </si>
  <si>
    <t>188A2A</t>
  </si>
  <si>
    <t>Cheese - Kesong Puti</t>
  </si>
  <si>
    <t>189A2A</t>
  </si>
  <si>
    <t>Cheese - Mozzarella</t>
  </si>
  <si>
    <t>190A2A</t>
  </si>
  <si>
    <t>Cheese - Parmesan Block</t>
  </si>
  <si>
    <t>191A2A</t>
  </si>
  <si>
    <t>Cheese - Parmesan Grated (1)</t>
  </si>
  <si>
    <t>192A2A</t>
  </si>
  <si>
    <t>Cheese - Pasteurized Processed Cheese</t>
  </si>
  <si>
    <t>194A2A</t>
  </si>
  <si>
    <t>Cheese -Cheddar Block (1)</t>
  </si>
  <si>
    <t>196A2A</t>
  </si>
  <si>
    <t>Cheese -Cheddar Block (2)</t>
  </si>
  <si>
    <t>197A2A</t>
  </si>
  <si>
    <t>Cheese -Cheddar Sliced (2)</t>
  </si>
  <si>
    <t>198A2A</t>
  </si>
  <si>
    <t>Cheese Rolls (pack of 8)</t>
  </si>
  <si>
    <t>131D9A</t>
  </si>
  <si>
    <t>Cheese Wonton (tub of 30)</t>
  </si>
  <si>
    <t>280D9A</t>
  </si>
  <si>
    <t>TUB</t>
  </si>
  <si>
    <t>Chewy Choocolate Chip Cookies (pack of 8)</t>
  </si>
  <si>
    <t>264D9A</t>
  </si>
  <si>
    <t>Chicharon</t>
  </si>
  <si>
    <t>203A2A</t>
  </si>
  <si>
    <t>Chicken - Whole</t>
  </si>
  <si>
    <t>204A2A</t>
  </si>
  <si>
    <t>Chicken Bone / kg</t>
  </si>
  <si>
    <t>662A2A</t>
  </si>
  <si>
    <t>Chicken Gravy</t>
  </si>
  <si>
    <t>239D9A</t>
  </si>
  <si>
    <t>Chicken Powder</t>
  </si>
  <si>
    <t>205A2A</t>
  </si>
  <si>
    <t>Chili Flakes</t>
  </si>
  <si>
    <t>206A2A</t>
  </si>
  <si>
    <t>Chili flakes, Portioned 100g</t>
  </si>
  <si>
    <t>135D9A</t>
  </si>
  <si>
    <t>Chili Powder</t>
  </si>
  <si>
    <t>207A2A</t>
  </si>
  <si>
    <t>Choco Cornflakes</t>
  </si>
  <si>
    <t>136D9A</t>
  </si>
  <si>
    <t>Chocolate Baton</t>
  </si>
  <si>
    <t>210A2D</t>
  </si>
  <si>
    <t>Chocolate Cake Bites (PACK OF 18)</t>
  </si>
  <si>
    <t>299D9A</t>
  </si>
  <si>
    <t>Chocolate Callets Dark</t>
  </si>
  <si>
    <t>211A2A</t>
  </si>
  <si>
    <t>Chocolate Callets White</t>
  </si>
  <si>
    <t>212A2A</t>
  </si>
  <si>
    <t>Chocolate Caramel Crunch Cake</t>
  </si>
  <si>
    <t>276A2F</t>
  </si>
  <si>
    <t>Chocolate Cheesecake</t>
  </si>
  <si>
    <t>333D9A</t>
  </si>
  <si>
    <t>Chocolate Chip Banana Bread</t>
  </si>
  <si>
    <t>334D9A</t>
  </si>
  <si>
    <t>Chocolate Chip Scones - pc</t>
  </si>
  <si>
    <t>139D9A</t>
  </si>
  <si>
    <t>Chocolate Chip Shortbread (pack of 20)</t>
  </si>
  <si>
    <t>140D9A</t>
  </si>
  <si>
    <t>Chocolate chip swirl meringue (pack of 18)</t>
  </si>
  <si>
    <t>298D9A</t>
  </si>
  <si>
    <t>Chocolate Chip Walnut Cookies (pack of 8)</t>
  </si>
  <si>
    <t>265D9A</t>
  </si>
  <si>
    <t>Chocolate Chips Dark SS</t>
  </si>
  <si>
    <t>214A2A</t>
  </si>
  <si>
    <t>Chocolate Crinkle Cookies</t>
  </si>
  <si>
    <t>141D9A</t>
  </si>
  <si>
    <t>Chocolate Crinkle Cookies (pack of 8)</t>
  </si>
  <si>
    <t>142D9A</t>
  </si>
  <si>
    <t>Chocolate Croissant Dough</t>
  </si>
  <si>
    <t>254D9A</t>
  </si>
  <si>
    <t>Chocolate Crunch Bars</t>
  </si>
  <si>
    <t>143D9A</t>
  </si>
  <si>
    <t>Chocolate peanut brittle 250g</t>
  </si>
  <si>
    <t>267D9A</t>
  </si>
  <si>
    <t>Chocolate Peanut Brittle 350g</t>
  </si>
  <si>
    <t>340D9A</t>
  </si>
  <si>
    <t>pc</t>
  </si>
  <si>
    <t>Chocolate Peanut Brittle, Pouch</t>
  </si>
  <si>
    <t>268D9A</t>
  </si>
  <si>
    <t>Chocolate Sansrival</t>
  </si>
  <si>
    <t>285D9A</t>
  </si>
  <si>
    <t>Chocolate Tiramisu Cake</t>
  </si>
  <si>
    <t>145D9A</t>
  </si>
  <si>
    <t>Chorizo Dried</t>
  </si>
  <si>
    <t>226A2A</t>
  </si>
  <si>
    <t>Chorizo Fresh</t>
  </si>
  <si>
    <t>227A2A</t>
  </si>
  <si>
    <t>Cinnamon Powder</t>
  </si>
  <si>
    <t>232A2D</t>
  </si>
  <si>
    <t>Cling Wrap</t>
  </si>
  <si>
    <t>229A2A</t>
  </si>
  <si>
    <t>Cloves Ground</t>
  </si>
  <si>
    <t>230A2A</t>
  </si>
  <si>
    <t>Coaster Square 3.5" Nonos</t>
  </si>
  <si>
    <t>190A2D</t>
  </si>
  <si>
    <t>Cocoa Powder</t>
  </si>
  <si>
    <t>231A2A</t>
  </si>
  <si>
    <t>Coconut Cream</t>
  </si>
  <si>
    <t>232A2A</t>
  </si>
  <si>
    <t>Coconut Juice Archipelago</t>
  </si>
  <si>
    <t>131A2F</t>
  </si>
  <si>
    <t>PC(300)</t>
  </si>
  <si>
    <t>Coffee Instant</t>
  </si>
  <si>
    <t>237A2A</t>
  </si>
  <si>
    <t>Coke Regular</t>
  </si>
  <si>
    <t>238A2A</t>
  </si>
  <si>
    <t>Coke Zero</t>
  </si>
  <si>
    <t>239A2A</t>
  </si>
  <si>
    <t>Cookies &amp; Cream Cake</t>
  </si>
  <si>
    <t>275A2F</t>
  </si>
  <si>
    <t>Corn Kernel Whole</t>
  </si>
  <si>
    <t>241A2A</t>
  </si>
  <si>
    <t>Corned Beef Pandesal (pack of 4)</t>
  </si>
  <si>
    <t>147D9A</t>
  </si>
  <si>
    <t>Cornstarch</t>
  </si>
  <si>
    <t>244A2A</t>
  </si>
  <si>
    <t>Crab Stick</t>
  </si>
  <si>
    <t>245A2A</t>
  </si>
  <si>
    <t>Cranberry walnut Dough</t>
  </si>
  <si>
    <t>995A2C</t>
  </si>
  <si>
    <t>Cream Charger</t>
  </si>
  <si>
    <t>246A2A</t>
  </si>
  <si>
    <t>CLEANING SUPPLIES</t>
  </si>
  <si>
    <t>Cream Cheese</t>
  </si>
  <si>
    <t>248A2A</t>
  </si>
  <si>
    <t>Creamy Pesto Sauce (pack of 6)</t>
  </si>
  <si>
    <t>269D9A</t>
  </si>
  <si>
    <t>Creme Brulee Cake</t>
  </si>
  <si>
    <t>305D9A</t>
  </si>
  <si>
    <t>Croissant Dough 3-4-3</t>
  </si>
  <si>
    <t>255D9A</t>
  </si>
  <si>
    <t>Croissant Dough 3-4-4</t>
  </si>
  <si>
    <t>256D9A</t>
  </si>
  <si>
    <t>Dark Chocolate Sourdough</t>
  </si>
  <si>
    <t>290D9A</t>
  </si>
  <si>
    <t>Dates Dried</t>
  </si>
  <si>
    <t>251A2A</t>
  </si>
  <si>
    <t>Demi Glace Powder</t>
  </si>
  <si>
    <t>252A2A</t>
  </si>
  <si>
    <t>Desiccated Coconut Sweetened</t>
  </si>
  <si>
    <t>253A2A</t>
  </si>
  <si>
    <t>Dijon Mustard (1)</t>
  </si>
  <si>
    <t>254A2A</t>
  </si>
  <si>
    <t>Dijon Mustard (2)</t>
  </si>
  <si>
    <t>255A2A</t>
  </si>
  <si>
    <t>Dijon Mustard (2) (8oz)</t>
  </si>
  <si>
    <t>962A2E</t>
  </si>
  <si>
    <t>PC(8)</t>
  </si>
  <si>
    <t>Dinner Roll (pack of 12)</t>
  </si>
  <si>
    <t>350D9A</t>
  </si>
  <si>
    <t>Dinner Roll (pack of 6)</t>
  </si>
  <si>
    <t>150D9A</t>
  </si>
  <si>
    <t>Double Chocolate Chip Cookies (pack of 8)</t>
  </si>
  <si>
    <t>151D9A</t>
  </si>
  <si>
    <t>Dried Cranberries</t>
  </si>
  <si>
    <t>209A2D</t>
  </si>
  <si>
    <t>Dried Thyme</t>
  </si>
  <si>
    <t>100A2F</t>
  </si>
  <si>
    <t>Dry Rub 1 kg.</t>
  </si>
  <si>
    <t>352D9A</t>
  </si>
  <si>
    <t>Dry Yeast Instant (1)</t>
  </si>
  <si>
    <t>258A2A</t>
  </si>
  <si>
    <t>Dulce de Leche</t>
  </si>
  <si>
    <t>257D9A</t>
  </si>
  <si>
    <t>Dusting Flour - FG</t>
  </si>
  <si>
    <t>270D9A</t>
  </si>
  <si>
    <t>Dusting Flour (for shrimp)</t>
  </si>
  <si>
    <t>864A2C</t>
  </si>
  <si>
    <t>Egg - Fresh, Medium</t>
  </si>
  <si>
    <t>260A2A</t>
  </si>
  <si>
    <t>Farmer's Corn Chowder</t>
  </si>
  <si>
    <t>153D9A</t>
  </si>
  <si>
    <t>FISH - Hake Fillet</t>
  </si>
  <si>
    <t>198A2F</t>
  </si>
  <si>
    <t>FISH - Salmon Fillet</t>
  </si>
  <si>
    <t>269A2A</t>
  </si>
  <si>
    <t>FISH - Smoked Milkfish</t>
  </si>
  <si>
    <t>270A2A</t>
  </si>
  <si>
    <t>FISH - Smoked Salmon</t>
  </si>
  <si>
    <t>271A2A</t>
  </si>
  <si>
    <t>FISH - Sole Fillet</t>
  </si>
  <si>
    <t>272A2A</t>
  </si>
  <si>
    <t>Fish Sauce (1)</t>
  </si>
  <si>
    <t>274A2A</t>
  </si>
  <si>
    <t>Flour - All Purpose (1)</t>
  </si>
  <si>
    <t>276A2A</t>
  </si>
  <si>
    <t>Flour - All Purpose (2)</t>
  </si>
  <si>
    <t>277A2A</t>
  </si>
  <si>
    <t>Flour - Bran</t>
  </si>
  <si>
    <t>844A2C</t>
  </si>
  <si>
    <t>Flour - Bread, Unbleached</t>
  </si>
  <si>
    <t>206A2D</t>
  </si>
  <si>
    <t>Foccacia Bread (pack of 4)</t>
  </si>
  <si>
    <t>154D9A</t>
  </si>
  <si>
    <t>Foccacia with Roasted Garlic Cream</t>
  </si>
  <si>
    <t>996A2C</t>
  </si>
  <si>
    <t>Pack</t>
  </si>
  <si>
    <t>Fork - Disposable</t>
  </si>
  <si>
    <t>299A2A</t>
  </si>
  <si>
    <t>948A2E</t>
  </si>
  <si>
    <t>PACK(100)</t>
  </si>
  <si>
    <t>Form - Delivery Receipt</t>
  </si>
  <si>
    <t>300A2A</t>
  </si>
  <si>
    <t>OFFICE SUPPLIES</t>
  </si>
  <si>
    <t>967A2E</t>
  </si>
  <si>
    <t>PAD(50)</t>
  </si>
  <si>
    <t>Form - Petty Cash Voucher</t>
  </si>
  <si>
    <t>301A2A</t>
  </si>
  <si>
    <t>SHEETS</t>
  </si>
  <si>
    <t>943A2E</t>
  </si>
  <si>
    <t>Four Cheese Pizza Set</t>
  </si>
  <si>
    <t>294D9A</t>
  </si>
  <si>
    <t>Fries 3/8</t>
  </si>
  <si>
    <t>302A2A</t>
  </si>
  <si>
    <t>Frozen - Blueberry</t>
  </si>
  <si>
    <t>303A2A</t>
  </si>
  <si>
    <t>Frozen - Strawberry</t>
  </si>
  <si>
    <t>304A2A</t>
  </si>
  <si>
    <t>Frozen Pizza Dough (pack of 6)</t>
  </si>
  <si>
    <t>297D9A</t>
  </si>
  <si>
    <t>Fruit - Hass Avocado</t>
  </si>
  <si>
    <t>316A2A</t>
  </si>
  <si>
    <t>Garlic Powder</t>
  </si>
  <si>
    <t>327A2A</t>
  </si>
  <si>
    <t>Garlic Steak</t>
  </si>
  <si>
    <t>NO SAP CODE 19</t>
  </si>
  <si>
    <t>Garlic Steak (TBK)</t>
  </si>
  <si>
    <t>NO SAP CODE 53</t>
  </si>
  <si>
    <t>Garlic Tuyo 8oz</t>
  </si>
  <si>
    <t>182A2F</t>
  </si>
  <si>
    <t>Gift Card, Nono's</t>
  </si>
  <si>
    <t>654A2E</t>
  </si>
  <si>
    <t>Gift Card, TBK</t>
  </si>
  <si>
    <t>183A2D</t>
  </si>
  <si>
    <t>Gingerbread Cookies (pack of 24)</t>
  </si>
  <si>
    <t>310D9A</t>
  </si>
  <si>
    <t>Gingerbread Cookies (pack of 3)</t>
  </si>
  <si>
    <t>271D9A</t>
  </si>
  <si>
    <t>Gloves - Plastic Disposable</t>
  </si>
  <si>
    <t>329A2A</t>
  </si>
  <si>
    <t>960A2E</t>
  </si>
  <si>
    <t>Gloves - Vinyl, Large</t>
  </si>
  <si>
    <t>963A2E</t>
  </si>
  <si>
    <t>Goat Cheese</t>
  </si>
  <si>
    <t>950A2C</t>
  </si>
  <si>
    <t>Greaseproof - Bread Wrapper, CCI</t>
  </si>
  <si>
    <t>334A2A</t>
  </si>
  <si>
    <t>Greaseproof - Nono's 10x10</t>
  </si>
  <si>
    <t>965A2E</t>
  </si>
  <si>
    <t>PACK(500)</t>
  </si>
  <si>
    <t>Greaseproof - Nono's 10x10"</t>
  </si>
  <si>
    <t>335A2A</t>
  </si>
  <si>
    <t>Greaseproof - Plain 18x24</t>
  </si>
  <si>
    <t>336A2A</t>
  </si>
  <si>
    <t>966A2E</t>
  </si>
  <si>
    <t>PACK(1000)</t>
  </si>
  <si>
    <t>Hair Net Disposable</t>
  </si>
  <si>
    <t>858A2C</t>
  </si>
  <si>
    <t>Ham - Sliced Smoke</t>
  </si>
  <si>
    <t>827A2C</t>
  </si>
  <si>
    <t>Ham - Smoked Maple</t>
  </si>
  <si>
    <t>349A2A</t>
  </si>
  <si>
    <t>Ham and Cheese Croissant</t>
  </si>
  <si>
    <t>997A2C</t>
  </si>
  <si>
    <t>Harvey Fresh - Orange Juice 1L</t>
  </si>
  <si>
    <t>NO SAP CODE 26</t>
  </si>
  <si>
    <t>BOTTLE</t>
  </si>
  <si>
    <t>Hazelnut Danish (pack of 4)</t>
  </si>
  <si>
    <t>314D9A</t>
  </si>
  <si>
    <t>Hazelnut Filling</t>
  </si>
  <si>
    <t>371A2F</t>
  </si>
  <si>
    <t>Hokkaido Loaf</t>
  </si>
  <si>
    <t>158D9A</t>
  </si>
  <si>
    <t>Hollandaise Sauce 250g</t>
  </si>
  <si>
    <t>306D9A</t>
  </si>
  <si>
    <t>Honey</t>
  </si>
  <si>
    <t>354A2A</t>
  </si>
  <si>
    <t>Honey Crunch Cake</t>
  </si>
  <si>
    <t>242D9A</t>
  </si>
  <si>
    <t>Horseradish</t>
  </si>
  <si>
    <t>356A2A</t>
  </si>
  <si>
    <t>Hot Sauce</t>
  </si>
  <si>
    <t>357A2A</t>
  </si>
  <si>
    <t>Hotdog Bun</t>
  </si>
  <si>
    <t>339D9A</t>
  </si>
  <si>
    <t>Iced Tea</t>
  </si>
  <si>
    <t>360A2A</t>
  </si>
  <si>
    <t>Icing Sugar</t>
  </si>
  <si>
    <t>361A2A</t>
  </si>
  <si>
    <t>Ink - POS/kitchen Printer, Epson ERC 38</t>
  </si>
  <si>
    <t>362A2A</t>
  </si>
  <si>
    <t>IT ITEMS</t>
  </si>
  <si>
    <t>Instant Mashed Potato</t>
  </si>
  <si>
    <t>363A2A</t>
  </si>
  <si>
    <t>Instant Oatmeal</t>
  </si>
  <si>
    <t>364A2A</t>
  </si>
  <si>
    <t>Jam - Strawberry</t>
  </si>
  <si>
    <t>366A2A</t>
  </si>
  <si>
    <t>Japanese Breadcrumbs</t>
  </si>
  <si>
    <t>367A2A</t>
  </si>
  <si>
    <t>Japanese Mayonnaise</t>
  </si>
  <si>
    <t>368A2A</t>
  </si>
  <si>
    <t>Jose Cuervo Gold</t>
  </si>
  <si>
    <t>369A2A</t>
  </si>
  <si>
    <t>Juice - Mango</t>
  </si>
  <si>
    <t>370A2A</t>
  </si>
  <si>
    <t>Knife - Disposable</t>
  </si>
  <si>
    <t>373A2A</t>
  </si>
  <si>
    <t>950A2E</t>
  </si>
  <si>
    <t>Label - Confections, TBK</t>
  </si>
  <si>
    <t>606A2E</t>
  </si>
  <si>
    <t>Label - Fruits &amp; Veg, TBK</t>
  </si>
  <si>
    <t>607A2E</t>
  </si>
  <si>
    <t>Label - Meat, TBK</t>
  </si>
  <si>
    <t>608A2E</t>
  </si>
  <si>
    <t>Label - Red and Purple Bread, TBK</t>
  </si>
  <si>
    <t>610A2E</t>
  </si>
  <si>
    <t>Label -Wheats, TBK</t>
  </si>
  <si>
    <t>609A2E</t>
  </si>
  <si>
    <t>Lemon Cream Cheese</t>
  </si>
  <si>
    <t>998A2C</t>
  </si>
  <si>
    <t>Lemon Meringue Tart 8</t>
  </si>
  <si>
    <t>160D9A</t>
  </si>
  <si>
    <t>Lemon Torte 8"</t>
  </si>
  <si>
    <t>161D9A</t>
  </si>
  <si>
    <t>LID - Flat Cold Drink 12/16oz</t>
  </si>
  <si>
    <t>895A2A</t>
  </si>
  <si>
    <t>968A2E</t>
  </si>
  <si>
    <t>PACK(50)</t>
  </si>
  <si>
    <t>LID - Hot Drink Cup 8oz</t>
  </si>
  <si>
    <t>959A2E</t>
  </si>
  <si>
    <t>LID - Hot Drink Cup White 8oz , CCI (50pcs/slv)</t>
  </si>
  <si>
    <t>379A2A</t>
  </si>
  <si>
    <t>Light Country Sourdough (1 loaf)</t>
  </si>
  <si>
    <t>162D9A</t>
  </si>
  <si>
    <t>Liquid Seasoning</t>
  </si>
  <si>
    <t>380A2A</t>
  </si>
  <si>
    <t>Liquor - Vodka</t>
  </si>
  <si>
    <t>372A2F</t>
  </si>
  <si>
    <t>Marinara Sauce (TMI pasta tomato sauce)</t>
  </si>
  <si>
    <t>163D9A</t>
  </si>
  <si>
    <t>Marinated Beef Tapa</t>
  </si>
  <si>
    <t>164D9A</t>
  </si>
  <si>
    <t>Marinated Pork Chop</t>
  </si>
  <si>
    <t>165D9A</t>
  </si>
  <si>
    <t>Marker - Sharpee</t>
  </si>
  <si>
    <t>384A2A</t>
  </si>
  <si>
    <t>Marshmallow 100g</t>
  </si>
  <si>
    <t>166D9A</t>
  </si>
  <si>
    <t>Mashed Potatoes 1 kg/pack</t>
  </si>
  <si>
    <t>281D9A</t>
  </si>
  <si>
    <t>Mayonnaise</t>
  </si>
  <si>
    <t>388A2A</t>
  </si>
  <si>
    <t>Meat - Beef Chuckeye Roll</t>
  </si>
  <si>
    <t>181A2D</t>
  </si>
  <si>
    <t>Meat - Beef Shortplate</t>
  </si>
  <si>
    <t>389A2A</t>
  </si>
  <si>
    <t>Meat - Beef Top Blade</t>
  </si>
  <si>
    <t>390A2A</t>
  </si>
  <si>
    <t>Meat - Beef Top Blade 2</t>
  </si>
  <si>
    <t>615A2E</t>
  </si>
  <si>
    <t>Meat - Chicken Breast Fillet skin-off</t>
  </si>
  <si>
    <t>392A2A</t>
  </si>
  <si>
    <t>Meat - Chicken Thigh Fillet Skin-on</t>
  </si>
  <si>
    <t>393A2A</t>
  </si>
  <si>
    <t>Meat - Ground Beef (1)</t>
  </si>
  <si>
    <t>394A2A</t>
  </si>
  <si>
    <t>MEAT - Longganisa Recado</t>
  </si>
  <si>
    <t>396A2A</t>
  </si>
  <si>
    <t>MEAT - Longganisa Spicy</t>
  </si>
  <si>
    <t>397A2A</t>
  </si>
  <si>
    <t>Meat - Pork Belly</t>
  </si>
  <si>
    <t>399A2A</t>
  </si>
  <si>
    <t>Meat - Porkloin</t>
  </si>
  <si>
    <t>400A2A</t>
  </si>
  <si>
    <t>Meat - Prociutto Ham</t>
  </si>
  <si>
    <t>401A2A</t>
  </si>
  <si>
    <t>Milk - Condensed (1)</t>
  </si>
  <si>
    <t>402A2A</t>
  </si>
  <si>
    <t>MILK - Fresh Milk, Gourmet/baking</t>
  </si>
  <si>
    <t>404A2A</t>
  </si>
  <si>
    <t>MILK - Skimmed Milk Powder</t>
  </si>
  <si>
    <t>405A2A</t>
  </si>
  <si>
    <t>Milk - Whole Milk</t>
  </si>
  <si>
    <t>727A2C</t>
  </si>
  <si>
    <t>Mineral Salt</t>
  </si>
  <si>
    <t>985A2C</t>
  </si>
  <si>
    <t>Mini Sugar Cookies</t>
  </si>
  <si>
    <t>167D9A</t>
  </si>
  <si>
    <t>Mirin</t>
  </si>
  <si>
    <t>NO SAP CODE 23</t>
  </si>
  <si>
    <t>Miso Paste</t>
  </si>
  <si>
    <t>407A2A</t>
  </si>
  <si>
    <t>Mocha Sansrival 8"</t>
  </si>
  <si>
    <t>168D9A</t>
  </si>
  <si>
    <t>Molo Wrapper</t>
  </si>
  <si>
    <t>408A2A</t>
  </si>
  <si>
    <t>Mozzarella Cheese 500g</t>
  </si>
  <si>
    <t>169D9A</t>
  </si>
  <si>
    <t>Muffin Cup (3)</t>
  </si>
  <si>
    <t>861A2C</t>
  </si>
  <si>
    <t>Mushroom - Button Fresh</t>
  </si>
  <si>
    <t>409A2A</t>
  </si>
  <si>
    <t>Mushroom - Shitake</t>
  </si>
  <si>
    <t>411A2A</t>
  </si>
  <si>
    <t>Mushroom-Shiitake Whole Dried</t>
  </si>
  <si>
    <t>413A2A</t>
  </si>
  <si>
    <t>New York Cheesecake</t>
  </si>
  <si>
    <t>258D9A</t>
  </si>
  <si>
    <t>whole</t>
  </si>
  <si>
    <t>Nono's Chocolate Oblivion</t>
  </si>
  <si>
    <t>170D9A</t>
  </si>
  <si>
    <t>Nono's Longganisa Recado (TBK)</t>
  </si>
  <si>
    <t>NO SAP CODE 56</t>
  </si>
  <si>
    <t>Nono's Marinated Chicken 125g</t>
  </si>
  <si>
    <t>171D9A</t>
  </si>
  <si>
    <t>Nono's Marinated Chicken Nibblers 70g</t>
  </si>
  <si>
    <t>172D9A</t>
  </si>
  <si>
    <t>Nono's Tapa (TBK)</t>
  </si>
  <si>
    <t>NO SAP CODE 55</t>
  </si>
  <si>
    <t>Nutmeg</t>
  </si>
  <si>
    <t>418A2A</t>
  </si>
  <si>
    <t>Oatmeal Buns (pack of 4)</t>
  </si>
  <si>
    <t>173D9A</t>
  </si>
  <si>
    <t>Oatmeal Chocolate Chip Cookies (pack of 8)</t>
  </si>
  <si>
    <t>243D9A</t>
  </si>
  <si>
    <t>Oil - Olive Oil Pomace</t>
  </si>
  <si>
    <t>423A2A</t>
  </si>
  <si>
    <t>Oil - Sesame</t>
  </si>
  <si>
    <t>424A2A</t>
  </si>
  <si>
    <t>Oil - Soya</t>
  </si>
  <si>
    <t>425A2A</t>
  </si>
  <si>
    <t>Oil - Vegetable</t>
  </si>
  <si>
    <t>426A2A</t>
  </si>
  <si>
    <t>Oil - White Truffle Oil Sunflower</t>
  </si>
  <si>
    <t>427A2A</t>
  </si>
  <si>
    <t>Oil Filter Envelope 10.5” x 20”</t>
  </si>
  <si>
    <t>428A2A</t>
  </si>
  <si>
    <t>953A2E</t>
  </si>
  <si>
    <t>PACK(30)</t>
  </si>
  <si>
    <t>Oil Filter Envelope 7.5” x 14”</t>
  </si>
  <si>
    <t>429A2A</t>
  </si>
  <si>
    <t>954A2E</t>
  </si>
  <si>
    <t>Onion Powder</t>
  </si>
  <si>
    <t>430A2A</t>
  </si>
  <si>
    <t>Opera Cake 8"</t>
  </si>
  <si>
    <t>174D9A</t>
  </si>
  <si>
    <t>Oregano Ground</t>
  </si>
  <si>
    <t>737A2C</t>
  </si>
  <si>
    <t>Oregano Whole Dried</t>
  </si>
  <si>
    <t>431A2A</t>
  </si>
  <si>
    <t>Oreo Chocolate Tart</t>
  </si>
  <si>
    <t>307D9A</t>
  </si>
  <si>
    <t>Oyster Sauce</t>
  </si>
  <si>
    <t>432A2A</t>
  </si>
  <si>
    <t>Pain Au Chocolat</t>
  </si>
  <si>
    <t>288D9A</t>
  </si>
  <si>
    <t>Pain Au Cinnamon</t>
  </si>
  <si>
    <t>999A2C</t>
  </si>
  <si>
    <t>Pan Au Chocolat (pack of 6)</t>
  </si>
  <si>
    <t>176D9A</t>
  </si>
  <si>
    <t>Pan Spray</t>
  </si>
  <si>
    <t>433A2A</t>
  </si>
  <si>
    <t>Panini Baguette (pack of 4)</t>
  </si>
  <si>
    <t>177D9A</t>
  </si>
  <si>
    <t>Panini Bread</t>
  </si>
  <si>
    <t>295D9A</t>
  </si>
  <si>
    <t>SLAB</t>
  </si>
  <si>
    <t>Paper Bag - White Kraft 12"</t>
  </si>
  <si>
    <t>434A2A</t>
  </si>
  <si>
    <t>Paper Bag Large, NONO'S</t>
  </si>
  <si>
    <t>436A2A</t>
  </si>
  <si>
    <t>Paper Bag Large, TBK</t>
  </si>
  <si>
    <t>437A2A</t>
  </si>
  <si>
    <t>Paper Bag Small, Nono's</t>
  </si>
  <si>
    <t>438A2A</t>
  </si>
  <si>
    <t>Paper Bag Small, TBK</t>
  </si>
  <si>
    <t>484A2E</t>
  </si>
  <si>
    <t>Paper Cup - Cold Drink 16oz, Nonos</t>
  </si>
  <si>
    <t>975A2A</t>
  </si>
  <si>
    <t>952A2E</t>
  </si>
  <si>
    <t>Paper Cup - Hot Drink 8oz (1)</t>
  </si>
  <si>
    <t>439A2A</t>
  </si>
  <si>
    <t>440A2A</t>
  </si>
  <si>
    <t>SLV(25)</t>
  </si>
  <si>
    <t>Paper Twine Kraft</t>
  </si>
  <si>
    <t>441A2A</t>
  </si>
  <si>
    <t>Parmesan Ensaymada, Regular</t>
  </si>
  <si>
    <t>178D9A</t>
  </si>
  <si>
    <t>BOX</t>
  </si>
  <si>
    <t>Parmesan Shaved 150g</t>
  </si>
  <si>
    <t>180D9A</t>
  </si>
  <si>
    <t>Parmesan, grated portioned 100g</t>
  </si>
  <si>
    <t>181D9A</t>
  </si>
  <si>
    <t>Parsley Flakes Dried</t>
  </si>
  <si>
    <t>442A2A</t>
  </si>
  <si>
    <t>Parsley flakes, portioned 25g</t>
  </si>
  <si>
    <t>182D9A</t>
  </si>
  <si>
    <t>Pasta - Fusili</t>
  </si>
  <si>
    <t>443A2A</t>
  </si>
  <si>
    <t>Pasta - Lasagna</t>
  </si>
  <si>
    <t>444A2A</t>
  </si>
  <si>
    <t>Pasta - Linguine</t>
  </si>
  <si>
    <t>445A2A</t>
  </si>
  <si>
    <t>Pasta - Penne</t>
  </si>
  <si>
    <t>446A2A</t>
  </si>
  <si>
    <t>Pasta - Small Shell</t>
  </si>
  <si>
    <t>447A2A</t>
  </si>
  <si>
    <t>Pasta - Spaghettini</t>
  </si>
  <si>
    <t>448A2A</t>
  </si>
  <si>
    <t>Pastries Sleeve</t>
  </si>
  <si>
    <t>449A2A</t>
  </si>
  <si>
    <t>Pastry Cream 300g</t>
  </si>
  <si>
    <t>184D9A</t>
  </si>
  <si>
    <t>Peanut - Whole Peeled Dry Roast</t>
  </si>
  <si>
    <t>451A2A</t>
  </si>
  <si>
    <t>Pecan</t>
  </si>
  <si>
    <t>452A2A</t>
  </si>
  <si>
    <t>Pecan Puff</t>
  </si>
  <si>
    <t>100A2D</t>
  </si>
  <si>
    <t>Pepper Black Ground</t>
  </si>
  <si>
    <t>453A2A</t>
  </si>
  <si>
    <t>Pepper Black Peppermill</t>
  </si>
  <si>
    <t>454A2A</t>
  </si>
  <si>
    <t>Pepper Black Whole</t>
  </si>
  <si>
    <t>455A2A</t>
  </si>
  <si>
    <t>PEPPERONI</t>
  </si>
  <si>
    <t>398A2A</t>
  </si>
  <si>
    <t>Pepperoni Pizza Danish (pack of 4)</t>
  </si>
  <si>
    <t>336D9A</t>
  </si>
  <si>
    <t>Pepperoni Pizza Set</t>
  </si>
  <si>
    <t>293D9A</t>
  </si>
  <si>
    <t>Pickle Sweet Relish</t>
  </si>
  <si>
    <t>935A2C</t>
  </si>
  <si>
    <t>Pinoy Style Beef Steak Sauce</t>
  </si>
  <si>
    <t>246D9A</t>
  </si>
  <si>
    <t>Pizza Box 10"</t>
  </si>
  <si>
    <t>927A2E</t>
  </si>
  <si>
    <t>PLASTIC - Loaf</t>
  </si>
  <si>
    <t>463A2A</t>
  </si>
  <si>
    <t>Plastic - OPP 20 x 30</t>
  </si>
  <si>
    <t>846A2C</t>
  </si>
  <si>
    <t>Plastic - OPP 6" x 8"</t>
  </si>
  <si>
    <t>803A2C</t>
  </si>
  <si>
    <t>Plastic - OPP 7x12</t>
  </si>
  <si>
    <t>464A2A</t>
  </si>
  <si>
    <t>Plastic - PP 9"X14"</t>
  </si>
  <si>
    <t>469A2A</t>
  </si>
  <si>
    <t>Pork Balsamic Adobo</t>
  </si>
  <si>
    <t>190D9A</t>
  </si>
  <si>
    <t>Pork Belly Balsamic (TBK)</t>
  </si>
  <si>
    <t>247D9A</t>
  </si>
  <si>
    <t>Pork Belly Trimmings</t>
  </si>
  <si>
    <t>248D9A</t>
  </si>
  <si>
    <t>Pork Chop (TBK)</t>
  </si>
  <si>
    <t>NO SAP CODE 54</t>
  </si>
  <si>
    <t>Pos Journal Paper 2 Ply</t>
  </si>
  <si>
    <t>475A2A</t>
  </si>
  <si>
    <t>Pos Thermal Paper 80 x 50mm</t>
  </si>
  <si>
    <t>107A2B</t>
  </si>
  <si>
    <t>POS Thermal Paper 80 x 70mm</t>
  </si>
  <si>
    <t>477A2A</t>
  </si>
  <si>
    <t>Pos Thermal Paper 80 x 83mm</t>
  </si>
  <si>
    <t>478A2A</t>
  </si>
  <si>
    <t>Pulled Pork 1 kg.</t>
  </si>
  <si>
    <t>354D9A</t>
  </si>
  <si>
    <t>Raisin</t>
  </si>
  <si>
    <t>989A2C</t>
  </si>
  <si>
    <t>Red Cayenne Ground Pepper</t>
  </si>
  <si>
    <t>483A2A</t>
  </si>
  <si>
    <t>Red Wine Cooking</t>
  </si>
  <si>
    <t>486A2A</t>
  </si>
  <si>
    <t>Ribbon 1" Gray</t>
  </si>
  <si>
    <t>490A2A</t>
  </si>
  <si>
    <t>941A2E</t>
  </si>
  <si>
    <t>Ribbon 1" Gray - Nono's</t>
  </si>
  <si>
    <t>931A2E</t>
  </si>
  <si>
    <t>Ribbon 1", Grey - TBK</t>
  </si>
  <si>
    <t>183A2A</t>
  </si>
  <si>
    <t>Ribbon 1/4" Gray</t>
  </si>
  <si>
    <t>491A2A</t>
  </si>
  <si>
    <t>Rice - Red Rice</t>
  </si>
  <si>
    <t>492A2A</t>
  </si>
  <si>
    <t>Rice - White rice (1)</t>
  </si>
  <si>
    <t>493A2A</t>
  </si>
  <si>
    <t>Rice - White rice (2)</t>
  </si>
  <si>
    <t>494A2A</t>
  </si>
  <si>
    <t>Risotto, Arborio</t>
  </si>
  <si>
    <t>496A2A</t>
  </si>
  <si>
    <t>Roasted Beef Belly</t>
  </si>
  <si>
    <t>191D9A</t>
  </si>
  <si>
    <t>Roasted Mixed Nuts 170g</t>
  </si>
  <si>
    <t>311D9A</t>
  </si>
  <si>
    <t>Roasted Mixed Nuts 300g</t>
  </si>
  <si>
    <t>312D9A</t>
  </si>
  <si>
    <t>Roasted Squash Soup</t>
  </si>
  <si>
    <t>192D9A</t>
  </si>
  <si>
    <t>Rosemary Focaccia</t>
  </si>
  <si>
    <t>337D9A</t>
  </si>
  <si>
    <t>Rosemary Leaves Ground</t>
  </si>
  <si>
    <t>497A2A</t>
  </si>
  <si>
    <t>Russian Tea Cookies (pack of 20)</t>
  </si>
  <si>
    <t>193D9A</t>
  </si>
  <si>
    <t>Salt - Iodized</t>
  </si>
  <si>
    <t>507A2A</t>
  </si>
  <si>
    <t>Salt - Kosher</t>
  </si>
  <si>
    <t>508A2A</t>
  </si>
  <si>
    <t>Salt - Rock</t>
  </si>
  <si>
    <t>509A2A</t>
  </si>
  <si>
    <t>Sardines Pasta Sauce 125g (pack of 6)</t>
  </si>
  <si>
    <t>303D9A</t>
  </si>
  <si>
    <t>Sauce Cup w/ Lid</t>
  </si>
  <si>
    <t>510A2A</t>
  </si>
  <si>
    <t>969A2E</t>
  </si>
  <si>
    <t>Sausage - Lughanighe</t>
  </si>
  <si>
    <t>180A2D</t>
  </si>
  <si>
    <t>Sausage Roll (pack of 6)</t>
  </si>
  <si>
    <t>195D9A</t>
  </si>
  <si>
    <t>Schwepps Tonic Water 325ml</t>
  </si>
  <si>
    <t>245A2F</t>
  </si>
  <si>
    <t>SEAFOODS - Halaan</t>
  </si>
  <si>
    <t>511A2A</t>
  </si>
  <si>
    <t>Seal Tape- Cold Drink Cup Lid</t>
  </si>
  <si>
    <t>512A2A</t>
  </si>
  <si>
    <t>Seal Tape- Hot Drink Cup Lid</t>
  </si>
  <si>
    <t>513A2A</t>
  </si>
  <si>
    <t>Service - Marketing Collateral (Audrey Hepburn Sugar Cookies Sticker tags)</t>
  </si>
  <si>
    <t>714A2C</t>
  </si>
  <si>
    <t>LOT</t>
  </si>
  <si>
    <t>Sesame Seed, Black</t>
  </si>
  <si>
    <t>515A2A</t>
  </si>
  <si>
    <t>Sesame Seed, White</t>
  </si>
  <si>
    <t>516A2A</t>
  </si>
  <si>
    <t>Shrimp Bouillon Cube</t>
  </si>
  <si>
    <t>898A2E</t>
  </si>
  <si>
    <t>Shrimp Vannamei (1)</t>
  </si>
  <si>
    <t>518A2A</t>
  </si>
  <si>
    <t>Shrimp Vannamei (2)</t>
  </si>
  <si>
    <t>519A2A</t>
  </si>
  <si>
    <t>Sinaing Na Tawilis 8oz</t>
  </si>
  <si>
    <t>230A2F</t>
  </si>
  <si>
    <t>Sinaing Na Tulingan 8oz</t>
  </si>
  <si>
    <t>180A2F</t>
  </si>
  <si>
    <t>Sleeve - Party Platter, NONO'S</t>
  </si>
  <si>
    <t>521A2A</t>
  </si>
  <si>
    <t>Sliced Jalapeno</t>
  </si>
  <si>
    <t>522A2A</t>
  </si>
  <si>
    <t>Smoked Salmon and Three Cheese Quiche</t>
  </si>
  <si>
    <t>197D9A</t>
  </si>
  <si>
    <t>Smores Tart</t>
  </si>
  <si>
    <t>272D9A</t>
  </si>
  <si>
    <t>Soup Bowl 390ml</t>
  </si>
  <si>
    <t>525A2A</t>
  </si>
  <si>
    <t>Soup Bowl Lid 390ml</t>
  </si>
  <si>
    <t>526A2A</t>
  </si>
  <si>
    <t>Sour Cream Plain (1)</t>
  </si>
  <si>
    <t>527A2A</t>
  </si>
  <si>
    <t>Sour Cream Plain (2)</t>
  </si>
  <si>
    <t>528A2A</t>
  </si>
  <si>
    <t>Sourdough Pandesal</t>
  </si>
  <si>
    <t>338D9A</t>
  </si>
  <si>
    <t>Sourdough Pizza</t>
  </si>
  <si>
    <t>101A2D</t>
  </si>
  <si>
    <t>Soy sauce</t>
  </si>
  <si>
    <t>529A2A</t>
  </si>
  <si>
    <t>Soy Sauce - Kikkoman</t>
  </si>
  <si>
    <t>530A2A</t>
  </si>
  <si>
    <t>Spanish Paprika</t>
  </si>
  <si>
    <t>531A2A</t>
  </si>
  <si>
    <t>Spicy Breading Flour</t>
  </si>
  <si>
    <t>865A2C</t>
  </si>
  <si>
    <t>Spicy Tuyo 8oz</t>
  </si>
  <si>
    <t>181A2F</t>
  </si>
  <si>
    <t>Spoon - Disposable</t>
  </si>
  <si>
    <t>533A2A</t>
  </si>
  <si>
    <t>949A2E</t>
  </si>
  <si>
    <t>Sprite</t>
  </si>
  <si>
    <t>534A2A</t>
  </si>
  <si>
    <t>Sriracha Chili Sauce</t>
  </si>
  <si>
    <t>535A2A</t>
  </si>
  <si>
    <t>Stand-up Pouch Kraft 250g</t>
  </si>
  <si>
    <t>536A2A</t>
  </si>
  <si>
    <t>Stand-up Pouch White Matte 100g</t>
  </si>
  <si>
    <t>538A2A</t>
  </si>
  <si>
    <t>STICKER - Always made fresh</t>
  </si>
  <si>
    <t>764A2C</t>
  </si>
  <si>
    <t>Sticker - Nono's (Generic)</t>
  </si>
  <si>
    <t>211A2D</t>
  </si>
  <si>
    <t>STICKER - Treat yourself</t>
  </si>
  <si>
    <t>766A2C</t>
  </si>
  <si>
    <t>Sticker Tag - Retail Coffee House Blend, Nono's</t>
  </si>
  <si>
    <t>542A2A</t>
  </si>
  <si>
    <t>Stirrer - Cocktail, Clear</t>
  </si>
  <si>
    <t>430A2F</t>
  </si>
  <si>
    <t>Stirrer - Wooden</t>
  </si>
  <si>
    <t>543A2A</t>
  </si>
  <si>
    <t>958A2E</t>
  </si>
  <si>
    <t>Straw - Individually wrapped, Black</t>
  </si>
  <si>
    <t>544A2A</t>
  </si>
  <si>
    <t>Straw - Individually wrapped, Sugarcane- (MAKATI STORES ONLY)</t>
  </si>
  <si>
    <t>779A2E</t>
  </si>
  <si>
    <t>String Pouch Holiday, TBK</t>
  </si>
  <si>
    <t>652A2E</t>
  </si>
  <si>
    <t>Sugar - Brown</t>
  </si>
  <si>
    <t>545A2A</t>
  </si>
  <si>
    <t>Sugar - Raw sugar sachet</t>
  </si>
  <si>
    <t>546A2A</t>
  </si>
  <si>
    <t>Sugar - White</t>
  </si>
  <si>
    <t>548A2A</t>
  </si>
  <si>
    <t>Sugar Cookies, medium</t>
  </si>
  <si>
    <t>199D9A</t>
  </si>
  <si>
    <t>Sugar Cookies, small</t>
  </si>
  <si>
    <t>200D9A</t>
  </si>
  <si>
    <t>Sugar Syrup</t>
  </si>
  <si>
    <t>201D9A</t>
  </si>
  <si>
    <t>Sundried Tomato</t>
  </si>
  <si>
    <t>549A2A</t>
  </si>
  <si>
    <t>Sylvia's Strawberry Shortcake 8"</t>
  </si>
  <si>
    <t>202D9A</t>
  </si>
  <si>
    <t>Sylvia's Strawberry Shortcake Ind.</t>
  </si>
  <si>
    <t>203D9A</t>
  </si>
  <si>
    <t>Syrup - Light corn</t>
  </si>
  <si>
    <t>552A2A</t>
  </si>
  <si>
    <t>Syrup - Maple Syrup</t>
  </si>
  <si>
    <t>553A2A</t>
  </si>
  <si>
    <t>Table Napkin, Nono's (54 packs/case)</t>
  </si>
  <si>
    <t>574A2A</t>
  </si>
  <si>
    <t>947A2E</t>
  </si>
  <si>
    <t>PACK(40)</t>
  </si>
  <si>
    <t>Tanduay Dark</t>
  </si>
  <si>
    <t>554A2A</t>
  </si>
  <si>
    <t>Tanqueray Gin 750ml</t>
  </si>
  <si>
    <t>244A2F</t>
  </si>
  <si>
    <t>Tape - Clear 1/2</t>
  </si>
  <si>
    <t>942A2E</t>
  </si>
  <si>
    <t>Tape - Clear 1/2"</t>
  </si>
  <si>
    <t>557A2A</t>
  </si>
  <si>
    <t>Tea Light Candle (48pcs/pack)</t>
  </si>
  <si>
    <t>928A2C</t>
  </si>
  <si>
    <t>Three Cheese Bagel (pack of 3)</t>
  </si>
  <si>
    <t>204D9A</t>
  </si>
  <si>
    <t>Tissue - Bathroom</t>
  </si>
  <si>
    <t>570A2A</t>
  </si>
  <si>
    <t>Tissue - Cocktail Napkin, Nono's</t>
  </si>
  <si>
    <t>571A2A</t>
  </si>
  <si>
    <t>Tissue - Interfolded</t>
  </si>
  <si>
    <t>572A2A</t>
  </si>
  <si>
    <t>945A2E</t>
  </si>
  <si>
    <t>PACK(150)</t>
  </si>
  <si>
    <t>Tissue - Jumbo Roll</t>
  </si>
  <si>
    <t>573A2A</t>
  </si>
  <si>
    <t>Tofu</t>
  </si>
  <si>
    <t>575A2A</t>
  </si>
  <si>
    <t>Tomato Diced</t>
  </si>
  <si>
    <t>576A2A</t>
  </si>
  <si>
    <t>Tomato Ketchup</t>
  </si>
  <si>
    <t>577A2A</t>
  </si>
  <si>
    <t>Tomato Paste (1)</t>
  </si>
  <si>
    <t>578A2A</t>
  </si>
  <si>
    <t>Tomato Paste (2)</t>
  </si>
  <si>
    <t>579A2A</t>
  </si>
  <si>
    <t>Tomato Sauce</t>
  </si>
  <si>
    <t>580A2A</t>
  </si>
  <si>
    <t>Toothpick Individually wrapped</t>
  </si>
  <si>
    <t>582A2A</t>
  </si>
  <si>
    <t>955A2E</t>
  </si>
  <si>
    <t>Tray-4-Cup Carry</t>
  </si>
  <si>
    <t>583A2A</t>
  </si>
  <si>
    <t>Triple Cheese Ensaymada (pack of 6)</t>
  </si>
  <si>
    <t>274D9A</t>
  </si>
  <si>
    <t>Triple Chocolate Mousse Cake</t>
  </si>
  <si>
    <t>275D9A</t>
  </si>
  <si>
    <t>Triple Decker Cheesecake</t>
  </si>
  <si>
    <t>301D9A</t>
  </si>
  <si>
    <t>Tuna Pandesal (pack of 4)</t>
  </si>
  <si>
    <t>304D9A</t>
  </si>
  <si>
    <t>Turmeric Powder</t>
  </si>
  <si>
    <t>586A2A</t>
  </si>
  <si>
    <t>Turtle Pie</t>
  </si>
  <si>
    <t>276D9A</t>
  </si>
  <si>
    <t>Ube Cake</t>
  </si>
  <si>
    <t>348D9A</t>
  </si>
  <si>
    <t>Ube Cheesecake</t>
  </si>
  <si>
    <t>277A2F</t>
  </si>
  <si>
    <t>Ube Flavor</t>
  </si>
  <si>
    <t>587A2A</t>
  </si>
  <si>
    <t>Vanilla Flavor</t>
  </si>
  <si>
    <t>591A2A</t>
  </si>
  <si>
    <t>Vanilla Ice Cream</t>
  </si>
  <si>
    <t>359A2A</t>
  </si>
  <si>
    <t>LITER</t>
  </si>
  <si>
    <t>Vegetable - Garlic Peeled</t>
  </si>
  <si>
    <t>613A2A</t>
  </si>
  <si>
    <t>Vinegar - Apple Cider</t>
  </si>
  <si>
    <t>641A2A</t>
  </si>
  <si>
    <t>Vinegar - Balsamic (1)</t>
  </si>
  <si>
    <t>642A2A</t>
  </si>
  <si>
    <t>Vinegar - Balsamic (2)</t>
  </si>
  <si>
    <t>643A2A</t>
  </si>
  <si>
    <t>Vinegar - Suka Pinakurat</t>
  </si>
  <si>
    <t>644A2A</t>
  </si>
  <si>
    <t>Vinegar - White</t>
  </si>
  <si>
    <t>645A2A</t>
  </si>
  <si>
    <t>Vitto's Chocolate Loaf</t>
  </si>
  <si>
    <t>209D9A</t>
  </si>
  <si>
    <t>Waffle Dough 6"</t>
  </si>
  <si>
    <t>250D9A</t>
  </si>
  <si>
    <t>Walnuts Halves</t>
  </si>
  <si>
    <t>646A2A</t>
  </si>
  <si>
    <t>Water - Hope in Box</t>
  </si>
  <si>
    <t>647A2A</t>
  </si>
  <si>
    <t>Water - Sparkling</t>
  </si>
  <si>
    <t>648A2A</t>
  </si>
  <si>
    <t>Water Chestnut peeled</t>
  </si>
  <si>
    <t>649A2A</t>
  </si>
  <si>
    <t>Whipping Cream - Baking (1)</t>
  </si>
  <si>
    <t>653A2A</t>
  </si>
  <si>
    <t>Whipping Cream - Baking (2)</t>
  </si>
  <si>
    <t>654A2A</t>
  </si>
  <si>
    <t>Whipping Cream - Baking (3)</t>
  </si>
  <si>
    <t>825A2C</t>
  </si>
  <si>
    <t>Whipping Cream - cooking</t>
  </si>
  <si>
    <t>655A2A</t>
  </si>
  <si>
    <t>Whipping Cream - IBC (1)</t>
  </si>
  <si>
    <t>735A2E</t>
  </si>
  <si>
    <t>White Chocolate Band</t>
  </si>
  <si>
    <t>210D9A</t>
  </si>
  <si>
    <t>White Chocolate Sansrival</t>
  </si>
  <si>
    <t>278A2F</t>
  </si>
  <si>
    <t>White Chocolate Walnut Cookies (pack of 8)</t>
  </si>
  <si>
    <t>335D9A</t>
  </si>
  <si>
    <t>White Pepper Ground</t>
  </si>
  <si>
    <t>656A2A</t>
  </si>
  <si>
    <t>White Wine Cooking</t>
  </si>
  <si>
    <t>657A2A</t>
  </si>
  <si>
    <t>Wine - SPARKLING</t>
  </si>
  <si>
    <t>264A2B</t>
  </si>
  <si>
    <t>Worcestershire</t>
  </si>
  <si>
    <t>660A2A</t>
  </si>
  <si>
    <t>Yema Ensaymada (pack of 6)</t>
  </si>
  <si>
    <t>211D9A</t>
  </si>
  <si>
    <t>Yema Sansrival</t>
  </si>
  <si>
    <t>259D9A</t>
  </si>
  <si>
    <t>FOOD BUNDLE ITEMS</t>
  </si>
  <si>
    <t>Celebration Collection</t>
  </si>
  <si>
    <t>NON03110003</t>
  </si>
  <si>
    <t>Finished Good</t>
  </si>
  <si>
    <t>SET</t>
  </si>
  <si>
    <t>The Sweet Set</t>
  </si>
  <si>
    <t>NON03110001</t>
  </si>
  <si>
    <t>Yuletide Bundle</t>
  </si>
  <si>
    <t>NON03110002</t>
  </si>
  <si>
    <t>RND ITEMS</t>
  </si>
  <si>
    <t>Waffles Benedict</t>
  </si>
  <si>
    <t>N0N0001</t>
  </si>
  <si>
    <t>SERVING</t>
  </si>
  <si>
    <t>Bacon and Egg</t>
  </si>
  <si>
    <t>N0N0002</t>
  </si>
  <si>
    <t>Bacon, Egg &amp; Cheese Sandwich</t>
  </si>
  <si>
    <t>N0N0003</t>
  </si>
  <si>
    <t>Bacon &amp; Cheese Omelette</t>
  </si>
  <si>
    <t>N0N0004</t>
  </si>
  <si>
    <t>Vegetarian Omelette</t>
  </si>
  <si>
    <t>N0N0005</t>
  </si>
  <si>
    <t>N0N0006</t>
  </si>
  <si>
    <t>Pepito Steak &amp; Eggs</t>
  </si>
  <si>
    <t>N0N0007</t>
  </si>
  <si>
    <t>Longganisa Recado</t>
  </si>
  <si>
    <t>N0N0008</t>
  </si>
  <si>
    <t>Tinapa Rice</t>
  </si>
  <si>
    <t>N0N0009</t>
  </si>
  <si>
    <t>Avocado &amp; Egg Toast</t>
  </si>
  <si>
    <t>N0N0010</t>
  </si>
  <si>
    <t>Parmesan Ensaymada &amp; Hot Chocolate</t>
  </si>
  <si>
    <t>N0N0011</t>
  </si>
  <si>
    <t>Nono's Homestyle Waffles (2 pcs)</t>
  </si>
  <si>
    <t>N0N0012</t>
  </si>
  <si>
    <t>Nono's Homestyle Waffles (2 pcs) w/ Strawberries</t>
  </si>
  <si>
    <t>N0N0013</t>
  </si>
  <si>
    <t>Nono's Homestyle Waffles (2 pcs) w/ Blueberries</t>
  </si>
  <si>
    <t>N0N0014</t>
  </si>
  <si>
    <t>Strawberries</t>
  </si>
  <si>
    <t>N0N0015</t>
  </si>
  <si>
    <t>Blueberries</t>
  </si>
  <si>
    <t>N0N0016</t>
  </si>
  <si>
    <t>Waffle</t>
  </si>
  <si>
    <t>N0N0017</t>
  </si>
  <si>
    <t>Bacon</t>
  </si>
  <si>
    <t>N0N0018</t>
  </si>
  <si>
    <t>Fried Truffle Cheese Wonton</t>
  </si>
  <si>
    <t>N0N0019</t>
  </si>
  <si>
    <t>Parmesan Truffle Fried Potatoes</t>
  </si>
  <si>
    <t>N0N0020</t>
  </si>
  <si>
    <t>Parmesan Truffle Fries</t>
  </si>
  <si>
    <t>N0N0021</t>
  </si>
  <si>
    <t>Chicken Lettuce Wrap</t>
  </si>
  <si>
    <t>N0N0022</t>
  </si>
  <si>
    <t>Veggie Lettuce Wrap</t>
  </si>
  <si>
    <t>N0N0023</t>
  </si>
  <si>
    <t>Grilled Cheese Panini with Sour Cream Dip</t>
  </si>
  <si>
    <t>N0N0024</t>
  </si>
  <si>
    <t>Nono's Salad</t>
  </si>
  <si>
    <t>N0N0025</t>
  </si>
  <si>
    <t>Nono's Salad - as side</t>
  </si>
  <si>
    <t>N0N0026</t>
  </si>
  <si>
    <t>Caesar Salad</t>
  </si>
  <si>
    <t>N0N0027</t>
  </si>
  <si>
    <t>Oriental Shrimp Salad</t>
  </si>
  <si>
    <t>N0N0028</t>
  </si>
  <si>
    <t>N0N0029</t>
  </si>
  <si>
    <t>Farmers Corn Chowder Soup</t>
  </si>
  <si>
    <t>N0N0030</t>
  </si>
  <si>
    <t>Clam Chowder Soup</t>
  </si>
  <si>
    <t>N0N0031</t>
  </si>
  <si>
    <t>French Onion Soup</t>
  </si>
  <si>
    <t>N0N0032</t>
  </si>
  <si>
    <t>Oriental Shrimp Salad - BP</t>
  </si>
  <si>
    <t>N0N0033</t>
  </si>
  <si>
    <t>Nono's Salad - BP</t>
  </si>
  <si>
    <t>N0N0034</t>
  </si>
  <si>
    <t>Caesar Salad - BP</t>
  </si>
  <si>
    <t>N0N0035</t>
  </si>
  <si>
    <t>Shrimp</t>
  </si>
  <si>
    <t>N0N0036</t>
  </si>
  <si>
    <t>N0N0037</t>
  </si>
  <si>
    <t>N0N0038</t>
  </si>
  <si>
    <t>Grilled Pork Chop</t>
  </si>
  <si>
    <t>N0N0039</t>
  </si>
  <si>
    <t>Nono's Homestyle Fried Chicken - Original</t>
  </si>
  <si>
    <t>N0N0040</t>
  </si>
  <si>
    <t>Nono's Homestyle Fried Chicken - Honey Sriracha</t>
  </si>
  <si>
    <t>N0N0041</t>
  </si>
  <si>
    <t>Nono's Homestyle Fried Chicken - Teriyaki</t>
  </si>
  <si>
    <t>N0N0042</t>
  </si>
  <si>
    <t>Nono's Homestyle Fried Chicken - Southern Rub</t>
  </si>
  <si>
    <t>N0N0043</t>
  </si>
  <si>
    <t>Chicken &amp; Waffles - Original</t>
  </si>
  <si>
    <t>N0N0044</t>
  </si>
  <si>
    <t>Chicken &amp; Waffles - Honey Sriracha</t>
  </si>
  <si>
    <t>N0N0045</t>
  </si>
  <si>
    <t>Chicken &amp; Waffles - Teriyaki</t>
  </si>
  <si>
    <t>N0N0046</t>
  </si>
  <si>
    <t>Chicken &amp; Waffles - Southern Rub</t>
  </si>
  <si>
    <t>N0N0047</t>
  </si>
  <si>
    <t>Pinoy-style Beef Steak</t>
  </si>
  <si>
    <t>N0N0048</t>
  </si>
  <si>
    <t>Parmesan Crusted Fish with Tomato &amp; Basil Spaghettini</t>
  </si>
  <si>
    <t>N0N0049</t>
  </si>
  <si>
    <t>Salmon with Hollandaise</t>
  </si>
  <si>
    <t>N0N0050</t>
  </si>
  <si>
    <t>Miso-glazed Salmon with Red Rice</t>
  </si>
  <si>
    <t>N0N0051</t>
  </si>
  <si>
    <t>Pan-roasted Fish with Spaghettini Aglio e Olio</t>
  </si>
  <si>
    <t>N0N0052</t>
  </si>
  <si>
    <t>Nono's Sisig</t>
  </si>
  <si>
    <t>N0N0053</t>
  </si>
  <si>
    <t>Pork Belly Balsamic Adobo</t>
  </si>
  <si>
    <t>N0N0054</t>
  </si>
  <si>
    <t>Garlic Steak with Mushroom</t>
  </si>
  <si>
    <t>N0N0055</t>
  </si>
  <si>
    <t>Roasted Beef Belly - BP</t>
  </si>
  <si>
    <t>N0N0056</t>
  </si>
  <si>
    <t>Grilled Pork Chop - BP</t>
  </si>
  <si>
    <t>N0N0057</t>
  </si>
  <si>
    <t>Nono's Homestyle Fried Chicken - Original - BP</t>
  </si>
  <si>
    <t>N0N0058</t>
  </si>
  <si>
    <t>Nono's Homestyle Fried Chicken - Honey Sriracha - BP</t>
  </si>
  <si>
    <t>N0N0059</t>
  </si>
  <si>
    <t>Nono's Homestyle Fried Chicken - Teriyaki - BP</t>
  </si>
  <si>
    <t>N0N0060</t>
  </si>
  <si>
    <t>Nono's Homestyle Fried Chicken - Southern Rub - BP</t>
  </si>
  <si>
    <t>N0N0061</t>
  </si>
  <si>
    <t>Nono's Homestyle Fried Chicken Big Plates - Combo (Original + Honey Sriracha)</t>
  </si>
  <si>
    <t>N0N0062</t>
  </si>
  <si>
    <t>Nono's Homestyle Fried Chicken Big Plates - Combo (Original + Teriyaki)</t>
  </si>
  <si>
    <t>N0N0063</t>
  </si>
  <si>
    <t>Nono's Homestyle Fried Chicken Big Plates - Combo (Original + Southern Rub)</t>
  </si>
  <si>
    <t>N0N0064</t>
  </si>
  <si>
    <t>Nono's Homestyle Fried Chicken Big Plates - Combo (Honey Sriracha + Teriyaki)</t>
  </si>
  <si>
    <t>N0N0065</t>
  </si>
  <si>
    <t>Nono's Homestyle Fried Chicken Big Plates - Combo (Honey Sriracha + Southern Rub)</t>
  </si>
  <si>
    <t>N0N0066</t>
  </si>
  <si>
    <t>Nono's Homestyle Fried Chicken Big Plates - Combo (Teriyaki + Southern Rub)</t>
  </si>
  <si>
    <t>N0N0067</t>
  </si>
  <si>
    <t>Parmesan Crusted Fish with Tomato &amp; Basil Spaghettini - BP</t>
  </si>
  <si>
    <t>N0N0068</t>
  </si>
  <si>
    <t>Salmon with Hollandaise - BP</t>
  </si>
  <si>
    <t>N0N0069</t>
  </si>
  <si>
    <t>Miso-glazed Salmon with Red Rice - BP</t>
  </si>
  <si>
    <t>N0N0070</t>
  </si>
  <si>
    <t>Pan-roasted Fish with Spaghettini Aglio e Olio - BP</t>
  </si>
  <si>
    <t>N0N0071</t>
  </si>
  <si>
    <t>Pork Belly Balsamic Adobo - BP</t>
  </si>
  <si>
    <t>N0N0072</t>
  </si>
  <si>
    <t>Chicken &amp; Waffles - Original - BP</t>
  </si>
  <si>
    <t>N0N0073</t>
  </si>
  <si>
    <t>Chicken &amp; Waffles - Honey Sriracha - BP</t>
  </si>
  <si>
    <t>N0N0074</t>
  </si>
  <si>
    <t>Chicken &amp; Waffles Teriyaki - BP</t>
  </si>
  <si>
    <t>N0N0075</t>
  </si>
  <si>
    <t>Chicken &amp; Waffles Southern Rub - BP</t>
  </si>
  <si>
    <t>N0N0076</t>
  </si>
  <si>
    <t>Chicken &amp; Waffles Big Plates Combo - (Original + Honey Sriracha)</t>
  </si>
  <si>
    <t>N0N0077</t>
  </si>
  <si>
    <t>Chicken &amp; Waffles Big Plates Combo - (Original + Teriyaki)</t>
  </si>
  <si>
    <t>N0N0078</t>
  </si>
  <si>
    <t>Chicken &amp; Waffles Big Plates Combo - (Original + Southern Rub)</t>
  </si>
  <si>
    <t>N0N0079</t>
  </si>
  <si>
    <t>Chicken &amp; Waffles Big Plates Combo - (Honey Sriracha Sauce + Teriyaki)</t>
  </si>
  <si>
    <t>N0N0080</t>
  </si>
  <si>
    <t>Chicken &amp; Waffles Big Plates Combo - (Honey Sriracha Sauce + Southern Rub)</t>
  </si>
  <si>
    <t>N0N0081</t>
  </si>
  <si>
    <t>Chicken &amp; Waffles Big Plates Combo - (Teriyaki + Southern)</t>
  </si>
  <si>
    <t>N0N0082</t>
  </si>
  <si>
    <t>Garlic Steak with Mushroom - BP</t>
  </si>
  <si>
    <t>N0N0083</t>
  </si>
  <si>
    <t>Classic Bolognese</t>
  </si>
  <si>
    <t>N0N0084</t>
  </si>
  <si>
    <t>Mac &amp; Cheese</t>
  </si>
  <si>
    <t>N0N0085</t>
  </si>
  <si>
    <t>Pesto Cream with Grilled Chicken</t>
  </si>
  <si>
    <t>N0N0086</t>
  </si>
  <si>
    <t>Truffle Cream</t>
  </si>
  <si>
    <t>N0N0087</t>
  </si>
  <si>
    <t>Tomato &amp; Basil Spaghettini</t>
  </si>
  <si>
    <t>N0N0088</t>
  </si>
  <si>
    <t>Penne Pasta with Mixed Vegetables</t>
  </si>
  <si>
    <t>N0N0089</t>
  </si>
  <si>
    <t>Shrimp El Diablo</t>
  </si>
  <si>
    <t>N0N0090</t>
  </si>
  <si>
    <t>Salmon &amp; Lemon Cream</t>
  </si>
  <si>
    <t>N0N0091</t>
  </si>
  <si>
    <t>Classic Bolognese - BP</t>
  </si>
  <si>
    <t>N0N0092</t>
  </si>
  <si>
    <t>Pesto Cream with Grilled Chicken - BP</t>
  </si>
  <si>
    <t>N0N0093</t>
  </si>
  <si>
    <t>Truffle Cream - BP</t>
  </si>
  <si>
    <t>N0N0094</t>
  </si>
  <si>
    <t>Tomato &amp; Basil Spaghettini - BP</t>
  </si>
  <si>
    <t>N0N0095</t>
  </si>
  <si>
    <t>Penne Pasta with Mixed Vegetables - BP</t>
  </si>
  <si>
    <t>N0N0096</t>
  </si>
  <si>
    <t>Shrimp El Diablo - BP</t>
  </si>
  <si>
    <t>N0N0097</t>
  </si>
  <si>
    <t>Salmon &amp; Lemon Cream - BP</t>
  </si>
  <si>
    <t>N0N0098</t>
  </si>
  <si>
    <t>N0N0099</t>
  </si>
  <si>
    <t>Sicilian Pizza</t>
  </si>
  <si>
    <t>N0N0100</t>
  </si>
  <si>
    <t>Four Cheese Pizza</t>
  </si>
  <si>
    <t>N0N0101</t>
  </si>
  <si>
    <t>Nono's Pizza</t>
  </si>
  <si>
    <t>N0N0102</t>
  </si>
  <si>
    <t>Pepperoni Pizza</t>
  </si>
  <si>
    <t>N0N0103</t>
  </si>
  <si>
    <t>Margherita Pizza</t>
  </si>
  <si>
    <t>N0N0104</t>
  </si>
  <si>
    <t>Pepito Steak Sliders</t>
  </si>
  <si>
    <t>N0N0105</t>
  </si>
  <si>
    <t>Nono's Homestyle Fried Chicken Sliders</t>
  </si>
  <si>
    <t>N0N0106</t>
  </si>
  <si>
    <t>Burger Sliders</t>
  </si>
  <si>
    <t>N0N0107</t>
  </si>
  <si>
    <t>N0N0108</t>
  </si>
  <si>
    <t>Nono's Crispy Chicken Sandwich - Original</t>
  </si>
  <si>
    <t>N0N0109</t>
  </si>
  <si>
    <t>Nono's Crispy Chicken Sandwich - Sriracha</t>
  </si>
  <si>
    <t>N0N0110</t>
  </si>
  <si>
    <t>Nono's Burger</t>
  </si>
  <si>
    <t>N0N0111</t>
  </si>
  <si>
    <t>Patty</t>
  </si>
  <si>
    <t>N0N0112</t>
  </si>
  <si>
    <t>Cheese</t>
  </si>
  <si>
    <t>N0N0113</t>
  </si>
  <si>
    <t>Sauce</t>
  </si>
  <si>
    <t>N0N0114</t>
  </si>
  <si>
    <t>N0N0115</t>
  </si>
  <si>
    <t>N0N0116</t>
  </si>
  <si>
    <t>Butter &amp; Parmesan Pasta</t>
  </si>
  <si>
    <t>N0N0117</t>
  </si>
  <si>
    <t>Mac n' Cheese - KM</t>
  </si>
  <si>
    <t>N0N0118</t>
  </si>
  <si>
    <t>Fried Chicken Nibblers</t>
  </si>
  <si>
    <t>N0N0119</t>
  </si>
  <si>
    <t>Fries</t>
  </si>
  <si>
    <t>N0N0120</t>
  </si>
  <si>
    <t>Plain Rice</t>
  </si>
  <si>
    <t>N0N0121</t>
  </si>
  <si>
    <t>Garlic Rice</t>
  </si>
  <si>
    <t>N0N0122</t>
  </si>
  <si>
    <t>Red Rice</t>
  </si>
  <si>
    <t>N0N0123</t>
  </si>
  <si>
    <t>Mashed Potatoes</t>
  </si>
  <si>
    <t>N0N0124</t>
  </si>
  <si>
    <t>Eggs Your Way</t>
  </si>
  <si>
    <t>N0N0125</t>
  </si>
  <si>
    <t>N0N0126</t>
  </si>
  <si>
    <t>Classic Sourdough (2 slc)</t>
  </si>
  <si>
    <t>N0N0127</t>
  </si>
  <si>
    <t>Dinner Roll (3 pcs)</t>
  </si>
  <si>
    <t>N0N0128</t>
  </si>
  <si>
    <t>Grilled Chicken</t>
  </si>
  <si>
    <t>N0N0129</t>
  </si>
  <si>
    <t>Mango, Tomato &amp; Salted Egg Salsa</t>
  </si>
  <si>
    <t>N0N0130</t>
  </si>
  <si>
    <t>Balsamic BBQ Sauce</t>
  </si>
  <si>
    <t>N0N0131</t>
  </si>
  <si>
    <t>Caesar Dressing</t>
  </si>
  <si>
    <t>N0N0132</t>
  </si>
  <si>
    <t>Honey BBQ Dressing</t>
  </si>
  <si>
    <t>N0N0133</t>
  </si>
  <si>
    <t>Honey Lemon</t>
  </si>
  <si>
    <t>N0N0134</t>
  </si>
  <si>
    <t>Waffle with Ice Cream</t>
  </si>
  <si>
    <t>N0N0135</t>
  </si>
  <si>
    <t>Almond Crunch Sundae</t>
  </si>
  <si>
    <t>N0N0136</t>
  </si>
  <si>
    <t>Vitto's Chocolate Cake</t>
  </si>
  <si>
    <t>N0N0137</t>
  </si>
  <si>
    <t>Banana Cream Pie Mini</t>
  </si>
  <si>
    <t>N0N0138</t>
  </si>
  <si>
    <t>Cookie Ice Cream Sandwich</t>
  </si>
  <si>
    <t>N0N0139</t>
  </si>
  <si>
    <t>Cookie Skillet</t>
  </si>
  <si>
    <t>N0N0140</t>
  </si>
  <si>
    <t>Affogato</t>
  </si>
  <si>
    <t>N0N0141</t>
  </si>
  <si>
    <t>Apple Pie Ala Mode</t>
  </si>
  <si>
    <t>N0N0142</t>
  </si>
  <si>
    <t>Nono's Salad PP</t>
  </si>
  <si>
    <t>N0N0143</t>
  </si>
  <si>
    <t>Caesar Salad PP</t>
  </si>
  <si>
    <t>N0N0144</t>
  </si>
  <si>
    <t>Oriental Shrimp Salad PP</t>
  </si>
  <si>
    <t>N0N0145</t>
  </si>
  <si>
    <t>Roasted Beef Belly PP</t>
  </si>
  <si>
    <t>N0N0146</t>
  </si>
  <si>
    <t>Pork Belly Balsamic Adobo PP</t>
  </si>
  <si>
    <t>N0N0147</t>
  </si>
  <si>
    <t>Nono's Homestyle Fried Chicken PP</t>
  </si>
  <si>
    <t>N0N0148</t>
  </si>
  <si>
    <t>Miso-glazed Salmon with Red Rice PP</t>
  </si>
  <si>
    <t>N0N0149</t>
  </si>
  <si>
    <t>Parmesan Crusted Sole with Tomato &amp; Basil Spaghettini PP</t>
  </si>
  <si>
    <t>N0N0150</t>
  </si>
  <si>
    <t>Tomato &amp; Basil Spaghettini PP</t>
  </si>
  <si>
    <t>N0N0151</t>
  </si>
  <si>
    <t>Classic Bolognese PP</t>
  </si>
  <si>
    <t>N0N0152</t>
  </si>
  <si>
    <t>Pesto Cream with Grilled Chicken PP</t>
  </si>
  <si>
    <t>N0N0153</t>
  </si>
  <si>
    <t>Mango Shake</t>
  </si>
  <si>
    <t>N0N0154</t>
  </si>
  <si>
    <t>Watermelon Shake</t>
  </si>
  <si>
    <t>N0N0155</t>
  </si>
  <si>
    <t>Strawberry Shake</t>
  </si>
  <si>
    <t>N0N0156</t>
  </si>
  <si>
    <t>Mango &amp; Strawberry Shake</t>
  </si>
  <si>
    <t>N0N0157</t>
  </si>
  <si>
    <t>Cucumber Mint Lemon Detox Shake</t>
  </si>
  <si>
    <t>N0N0158</t>
  </si>
  <si>
    <t>Lemonade</t>
  </si>
  <si>
    <t>N0N0159</t>
  </si>
  <si>
    <t>Kid's Lemonade</t>
  </si>
  <si>
    <t>N0N0160</t>
  </si>
  <si>
    <t>Fresh Ginger Turmeric w Lemongrass (Cold)</t>
  </si>
  <si>
    <t>N0N0161</t>
  </si>
  <si>
    <t>Fresh Ginger Turmeric w Lemongrass (Hot)</t>
  </si>
  <si>
    <t>N0N0162</t>
  </si>
  <si>
    <t>Espresso (D) - DBL</t>
  </si>
  <si>
    <t>N0N0163</t>
  </si>
  <si>
    <t>Americano</t>
  </si>
  <si>
    <t>N0N0164</t>
  </si>
  <si>
    <t>Vienna</t>
  </si>
  <si>
    <t>N0N0165</t>
  </si>
  <si>
    <t>Cappucino - DBL</t>
  </si>
  <si>
    <t>N0N0166</t>
  </si>
  <si>
    <t>Gibraltar - DBL</t>
  </si>
  <si>
    <t>N0N0167</t>
  </si>
  <si>
    <t>Flat White</t>
  </si>
  <si>
    <t>N0N0168</t>
  </si>
  <si>
    <t>Hot Coco - Kids choice!</t>
  </si>
  <si>
    <t>N0N0169</t>
  </si>
  <si>
    <t>Salted Caramel Macchiato</t>
  </si>
  <si>
    <t>N0N0170</t>
  </si>
  <si>
    <t>Iced Salted Caramel Macchiato</t>
  </si>
  <si>
    <t>N0N0171</t>
  </si>
  <si>
    <t>Iced Cappuccino (DBL)</t>
  </si>
  <si>
    <t>N0N0172</t>
  </si>
  <si>
    <t>Nono's Iced Tea</t>
  </si>
  <si>
    <t>N0N0173</t>
  </si>
  <si>
    <t>Gin and Tonic</t>
  </si>
  <si>
    <t>N0N0174</t>
  </si>
  <si>
    <t>White Sangria - Glass</t>
  </si>
  <si>
    <t>N0N0175</t>
  </si>
  <si>
    <t>White Sangria - Pitcher</t>
  </si>
  <si>
    <t>N0N0176</t>
  </si>
  <si>
    <t>Red Sangria</t>
  </si>
  <si>
    <t>N0N0177</t>
  </si>
  <si>
    <t>Red Sangria - Pitcher</t>
  </si>
  <si>
    <t>N0N0178</t>
  </si>
  <si>
    <t>Aperol Spritz</t>
  </si>
  <si>
    <t>N0N0179</t>
  </si>
  <si>
    <t>Long black</t>
  </si>
  <si>
    <t>N0N0180</t>
  </si>
  <si>
    <t>Hot Chocolate - Da Vinci Cocoa Powder</t>
  </si>
  <si>
    <t>N0N0181</t>
  </si>
  <si>
    <t>Caffe Mocha - Da Vinci Chocolate Powder</t>
  </si>
  <si>
    <t>N0N0182</t>
  </si>
  <si>
    <t>Pulled Pork Sliders</t>
  </si>
  <si>
    <t>N0N0183</t>
  </si>
  <si>
    <t>Baked Spaghetti</t>
  </si>
  <si>
    <t>N0N0184</t>
  </si>
  <si>
    <t>N0N0185</t>
  </si>
  <si>
    <t>N0N0186</t>
  </si>
  <si>
    <t>Chicken Nibblers, Original</t>
  </si>
  <si>
    <t>N0N0187</t>
  </si>
  <si>
    <t>Honey Sriracha Nibblers</t>
  </si>
  <si>
    <t>N0N0188</t>
  </si>
  <si>
    <t>Teriyaki Chicken Nibblers</t>
  </si>
  <si>
    <t>N0N0189</t>
  </si>
  <si>
    <t>Lemon Pepper Nibblers</t>
  </si>
  <si>
    <t>N0N0190</t>
  </si>
  <si>
    <t>Garlic Parmesan Nibblers</t>
  </si>
  <si>
    <t>N0N0191</t>
  </si>
  <si>
    <t>Louisiana Rub Nibblers</t>
  </si>
  <si>
    <t>N0N0192</t>
  </si>
  <si>
    <t>Honey Bbq Chicken Salad</t>
  </si>
  <si>
    <t>N0N0193</t>
  </si>
  <si>
    <t>Pepperoni Kids Pizza</t>
  </si>
  <si>
    <t>N0N0194</t>
  </si>
  <si>
    <t>Four Cheese Kids Pizza</t>
  </si>
  <si>
    <t>N0N0195</t>
  </si>
  <si>
    <t>Carbonara Pizza</t>
  </si>
  <si>
    <t>N0N0196</t>
  </si>
  <si>
    <t>Pulled Pork Sandwich</t>
  </si>
  <si>
    <t>N0N0197</t>
  </si>
  <si>
    <t>Croque Madame</t>
  </si>
  <si>
    <t>N0N0198</t>
  </si>
  <si>
    <t>The Ultimate Savory Waffles</t>
  </si>
  <si>
    <t>N0N0199</t>
  </si>
  <si>
    <t>Cuddled Egg with Bacon Truffle Mash</t>
  </si>
  <si>
    <t>N0N0200</t>
  </si>
  <si>
    <t>N0N0201</t>
  </si>
  <si>
    <t>Nono's Homestyle Fried Chicken Big Plates - Southern Rub</t>
  </si>
  <si>
    <t>N0N0202</t>
  </si>
  <si>
    <t>Bakery Items</t>
  </si>
  <si>
    <t>Banana Caramel</t>
  </si>
  <si>
    <t>BKRYN0N001</t>
  </si>
  <si>
    <t>Blueberry Danish</t>
  </si>
  <si>
    <t>BKRYN0N002</t>
  </si>
  <si>
    <t>BKRYN0N003</t>
  </si>
  <si>
    <t>Chocolate Croissant</t>
  </si>
  <si>
    <t>BKRYN0N004</t>
  </si>
  <si>
    <t>Chocolate Croissant Supreme</t>
  </si>
  <si>
    <t>BKRYN0N005</t>
  </si>
  <si>
    <t>Creme Brulee Croissant</t>
  </si>
  <si>
    <t>BKRYN0N006</t>
  </si>
  <si>
    <t>Croissant Biscocho</t>
  </si>
  <si>
    <t>BKRYN0N007</t>
  </si>
  <si>
    <t>Coco Bomboloni</t>
  </si>
  <si>
    <t>BKRYN0N008</t>
  </si>
  <si>
    <t>Focaccia with Roasted Garlic Cream</t>
  </si>
  <si>
    <t>BKRYN0N009</t>
  </si>
  <si>
    <t>Frangipane Croissant</t>
  </si>
  <si>
    <t>BKRYN0N010</t>
  </si>
  <si>
    <t>Goat Cheese Croissant</t>
  </si>
  <si>
    <t>BKRYN0N011</t>
  </si>
  <si>
    <t>Ham &amp; Cheese Croissant</t>
  </si>
  <si>
    <t>BKRYN0N012</t>
  </si>
  <si>
    <t>Hazelnut Danish</t>
  </si>
  <si>
    <t>BKRYN0N013</t>
  </si>
  <si>
    <t>Kesong Puti Croissant</t>
  </si>
  <si>
    <t>BKRYN0N014</t>
  </si>
  <si>
    <t>Kouign-amann</t>
  </si>
  <si>
    <t>BKRYN0N015</t>
  </si>
  <si>
    <t>BKRYN0N016</t>
  </si>
  <si>
    <t>Mini Choco Batard</t>
  </si>
  <si>
    <t>BKRYN0N017</t>
  </si>
  <si>
    <t>Mousse Au Chocolat</t>
  </si>
  <si>
    <t>BKRYN0N018</t>
  </si>
  <si>
    <t>Multi Grain Batard</t>
  </si>
  <si>
    <t>BKRYN0N019</t>
  </si>
  <si>
    <t>BKRYN0N020</t>
  </si>
  <si>
    <t>BKRYN0N021</t>
  </si>
  <si>
    <t>Pain de Mie</t>
  </si>
  <si>
    <t>BKRYN0N022</t>
  </si>
  <si>
    <t>BKRYN0N023</t>
  </si>
  <si>
    <t>Pizza Croissant</t>
  </si>
  <si>
    <t>BKRYN0N024</t>
  </si>
  <si>
    <t>Potato Rosemary Sourdough</t>
  </si>
  <si>
    <t>BKRYN0N025</t>
  </si>
  <si>
    <t>Chocnut Croissant</t>
  </si>
  <si>
    <t>BKRYN0N026</t>
  </si>
  <si>
    <t>Ube Bomboloni</t>
  </si>
  <si>
    <t>BKRYN0N027</t>
  </si>
  <si>
    <t>Blueberry Danish (Mini)</t>
  </si>
  <si>
    <t>BKRYN0N028</t>
  </si>
  <si>
    <t>Pain Au Chocolat (Mini)</t>
  </si>
  <si>
    <t>BKRYN0N029</t>
  </si>
  <si>
    <t>Classic Sourdough</t>
  </si>
  <si>
    <t>BKRYN0N030</t>
  </si>
  <si>
    <t>Cranberry Walnut Sourdough</t>
  </si>
  <si>
    <t>BKRYN0N031</t>
  </si>
  <si>
    <t>Whole Wheat Sourdough</t>
  </si>
  <si>
    <t>BKRYN0N032</t>
  </si>
  <si>
    <t>Dark Choco Sourdough</t>
  </si>
  <si>
    <t>BKRYN0N033</t>
  </si>
  <si>
    <t>BKRYN0N034</t>
  </si>
  <si>
    <t>BKRYN0N035</t>
  </si>
  <si>
    <t>BKRYN0N036</t>
  </si>
  <si>
    <t>Ube Cheese Loaf</t>
  </si>
  <si>
    <t>BKRYN0N037</t>
  </si>
  <si>
    <t>Ube Cheese Pastillas Pandesal (pack of 6)</t>
  </si>
  <si>
    <t>BKRYN0N038</t>
  </si>
  <si>
    <t>PROCESSED FOOD - In Store work In Process</t>
  </si>
  <si>
    <t>BALSAMIC VINAIGRETTE DRESSING</t>
  </si>
  <si>
    <t>PR200</t>
  </si>
  <si>
    <t>Work In Process</t>
  </si>
  <si>
    <t>Steamed rice</t>
  </si>
  <si>
    <t>PR201</t>
  </si>
  <si>
    <t>Steamed Red rice</t>
  </si>
  <si>
    <t>PR202</t>
  </si>
  <si>
    <t>Garlic rice</t>
  </si>
  <si>
    <t>PR203</t>
  </si>
  <si>
    <t>Adobo rice</t>
  </si>
  <si>
    <t>PR204</t>
  </si>
  <si>
    <t>Red rice for Miso glazed salmon</t>
  </si>
  <si>
    <t>PR205</t>
  </si>
  <si>
    <t>Honey lemon dressing for Nonos Salad- single order</t>
  </si>
  <si>
    <t>PR206</t>
  </si>
  <si>
    <t>Honey lemon dressing for Nonos Salad- Party Platter</t>
  </si>
  <si>
    <t>PR207</t>
  </si>
  <si>
    <t>Honey lemon dressing for Nonos Salad- side salad</t>
  </si>
  <si>
    <t>PR208</t>
  </si>
  <si>
    <t>Honey lemon dressing for Oriental Salad- single order</t>
  </si>
  <si>
    <t>PR209</t>
  </si>
  <si>
    <t>Honey lemon dressing for Oriental Salad- Party platter</t>
  </si>
  <si>
    <t>PR210</t>
  </si>
  <si>
    <t>Honey lemon dressing for Waffles Benedict and Avocado &amp; Egg toast</t>
  </si>
  <si>
    <t>PR211</t>
  </si>
  <si>
    <t>Caesar Salad dressing</t>
  </si>
  <si>
    <t>PR212</t>
  </si>
  <si>
    <t>Balsamic Vinaigrette Dressing for Roasted beef belly-Big, Grilled porkchop- BIG</t>
  </si>
  <si>
    <t>PR213</t>
  </si>
  <si>
    <t>Balsamic Vinaigrette Dressing for Roasted beef belly-single order, Grilled porkchop- single order, salmon croquettes and baked salmon salpicao</t>
  </si>
  <si>
    <t>PR214</t>
  </si>
  <si>
    <t>HOLLANDAISE Sauce for Waffles Benedict</t>
  </si>
  <si>
    <t>PR215</t>
  </si>
  <si>
    <t>HOLLANDAISE Sauce for Salmon Hollandaise</t>
  </si>
  <si>
    <t>PR216</t>
  </si>
  <si>
    <t>SHRIMP SAUCE for Oriental shrimp salad- single</t>
  </si>
  <si>
    <t>PR217</t>
  </si>
  <si>
    <t>SHRIMP SAUCE for Oriental shrimp salad- Party Platter</t>
  </si>
  <si>
    <t>PR218</t>
  </si>
  <si>
    <t>SHRIMP SAUCE for chicken and waffle sriracha and crispy chicken sandwich</t>
  </si>
  <si>
    <t>PR219</t>
  </si>
  <si>
    <t>Wrap Sauce</t>
  </si>
  <si>
    <t>PR220</t>
  </si>
  <si>
    <t>Lettuce Wrap Sauce</t>
  </si>
  <si>
    <t>PR221</t>
  </si>
  <si>
    <t>Smoked paprika aioli for Crispy chicken sandwich</t>
  </si>
  <si>
    <t>PR222</t>
  </si>
  <si>
    <t>Smoked paprika aioli for Parmesan Truffle fries</t>
  </si>
  <si>
    <t>PR223</t>
  </si>
  <si>
    <t>Smoked paprika aioli for Salmon Croquettes</t>
  </si>
  <si>
    <t>PR224</t>
  </si>
  <si>
    <t>SOUR CREAM IN ONION DIP for Grilled cheese panini</t>
  </si>
  <si>
    <t>PR225</t>
  </si>
  <si>
    <t>CREAMY HORSERADISH for Beef Belly-single</t>
  </si>
  <si>
    <t>PR226</t>
  </si>
  <si>
    <t>CREAMY HORSERADISH for Beef Belly-Big</t>
  </si>
  <si>
    <t>PR227</t>
  </si>
  <si>
    <t>CREAMY HORSERADISH for Beef Belly- Part Platter</t>
  </si>
  <si>
    <t>PR228</t>
  </si>
  <si>
    <t>MAYO PARMESAN- half plate servings</t>
  </si>
  <si>
    <t>PR229</t>
  </si>
  <si>
    <t>MAYO PARMESAN- single plate order</t>
  </si>
  <si>
    <t>PR230</t>
  </si>
  <si>
    <t>MAYO PARMESAN- Big plate order</t>
  </si>
  <si>
    <t>PR231</t>
  </si>
  <si>
    <t>MAYO PARMESAN- Party platter</t>
  </si>
  <si>
    <t>PR232</t>
  </si>
  <si>
    <t>HERB LEMON BUTTER- Single servings</t>
  </si>
  <si>
    <t>PR233</t>
  </si>
  <si>
    <t>HERB LEMON BUTTER- Big servings</t>
  </si>
  <si>
    <t>PR234</t>
  </si>
  <si>
    <t>MANGO SALSA DRESSING</t>
  </si>
  <si>
    <t>PR235</t>
  </si>
  <si>
    <t>MANGO SALSA</t>
  </si>
  <si>
    <t>PR236</t>
  </si>
  <si>
    <t>CANDIED WALNUTS for Oriental shrimp salad- single</t>
  </si>
  <si>
    <t>PR237</t>
  </si>
  <si>
    <t>Burger sauce for Burger sliders</t>
  </si>
  <si>
    <t>PR238</t>
  </si>
  <si>
    <t>Burger Patty for Burger sliders</t>
  </si>
  <si>
    <t>PR239</t>
  </si>
  <si>
    <t>Onion Strings for Burger Sliders</t>
  </si>
  <si>
    <t>PR240</t>
  </si>
  <si>
    <t>CANDIED WALNUTS for Oriental shrimp salad- Party platter and Shrimp and candied walnuts</t>
  </si>
  <si>
    <t>PR241</t>
  </si>
  <si>
    <t>CANDIED WALNUTS for Nonos salad- Party platter</t>
  </si>
  <si>
    <t>PR242</t>
  </si>
  <si>
    <t>CANDIED WALNUTS for Fried Truffle Cheese Wanton</t>
  </si>
  <si>
    <t>PR243</t>
  </si>
  <si>
    <t>CANDIED WALNUTS for Nono's Salad</t>
  </si>
  <si>
    <t>PR244</t>
  </si>
  <si>
    <t>CANDIED WALNUTS for Oriental Shrimp Salad</t>
  </si>
  <si>
    <t>PR245</t>
  </si>
  <si>
    <t>Croutons</t>
  </si>
  <si>
    <t>PR246</t>
  </si>
  <si>
    <t>POACHED EGG</t>
  </si>
  <si>
    <t>PR247</t>
  </si>
  <si>
    <t>POACHED EGG for Bacon Egg Cheese Sandwich</t>
  </si>
  <si>
    <t>PR248</t>
  </si>
  <si>
    <t>SHRIMP MARINATION</t>
  </si>
  <si>
    <t>PR249</t>
  </si>
  <si>
    <t>DUSTING FLOUR</t>
  </si>
  <si>
    <t>PR250</t>
  </si>
  <si>
    <t>ROUX</t>
  </si>
  <si>
    <t>PR251</t>
  </si>
  <si>
    <t>grams</t>
  </si>
  <si>
    <t>Chicken Sriracha sauce</t>
  </si>
  <si>
    <t>PR252</t>
  </si>
  <si>
    <t>ml</t>
  </si>
  <si>
    <t>BREADING FLOUR FOR CHICKEN- single order</t>
  </si>
  <si>
    <t>PR253</t>
  </si>
  <si>
    <t>BREADING FLOUR FOR CHICKEN- big order</t>
  </si>
  <si>
    <t>PR254</t>
  </si>
  <si>
    <t>BREADING FLOUR FOR CHICKEN- Party Platter</t>
  </si>
  <si>
    <t>PR255</t>
  </si>
  <si>
    <t>CHICKEN BREADING SPICE</t>
  </si>
  <si>
    <t>PR256</t>
  </si>
  <si>
    <t>BEER BATTER MIXTURE PR</t>
  </si>
  <si>
    <t>PR257</t>
  </si>
  <si>
    <t>MARINATED CHICKEN THIGH FILLET for single serving</t>
  </si>
  <si>
    <t>PR258</t>
  </si>
  <si>
    <t>MARINATED CHICKEN THIGH FILLET for Big serving</t>
  </si>
  <si>
    <t>PR259</t>
  </si>
  <si>
    <t>MARINATED CHICKEN THIGH FILLET for Party Platter</t>
  </si>
  <si>
    <t>PR260</t>
  </si>
  <si>
    <t>CHICKEN MARINATION for marinated chicken thigh fillet</t>
  </si>
  <si>
    <t>PR261</t>
  </si>
  <si>
    <t>CHEESE WANTON PREP</t>
  </si>
  <si>
    <t>PR262</t>
  </si>
  <si>
    <t>BAKED TOMATO</t>
  </si>
  <si>
    <t>PR263</t>
  </si>
  <si>
    <t>FRIED ONION LEEKS</t>
  </si>
  <si>
    <t>PR264</t>
  </si>
  <si>
    <t>SOLE FILLET ROASTED BREADING</t>
  </si>
  <si>
    <t>PR265</t>
  </si>
  <si>
    <t>GRILLED PORKCHOP MARINATION</t>
  </si>
  <si>
    <t>PR266</t>
  </si>
  <si>
    <t>SOLE FILLET MARINATION - HAKE</t>
  </si>
  <si>
    <t>PR267</t>
  </si>
  <si>
    <t>Marinated Pesto Chicken</t>
  </si>
  <si>
    <t>PR268</t>
  </si>
  <si>
    <t>SPINACH BLANCHED</t>
  </si>
  <si>
    <t>PR269</t>
  </si>
  <si>
    <t>MASHED POTATO</t>
  </si>
  <si>
    <t>PR270</t>
  </si>
  <si>
    <t>CARAMELIZED ONION</t>
  </si>
  <si>
    <t>PR271</t>
  </si>
  <si>
    <t>CARAMELIZED ONION for grilled cheese panini</t>
  </si>
  <si>
    <t>PR272</t>
  </si>
  <si>
    <t>CARAMELIZED ONION for onion soup</t>
  </si>
  <si>
    <t>PR273</t>
  </si>
  <si>
    <t>CARAMELIZED ONION for sour cream</t>
  </si>
  <si>
    <t>PR274</t>
  </si>
  <si>
    <t>CARAMELIZED ONION for pinoy style beefsteak</t>
  </si>
  <si>
    <t>PR275</t>
  </si>
  <si>
    <t>ROASTED GARLIC CLOVES</t>
  </si>
  <si>
    <t>PR276</t>
  </si>
  <si>
    <t>FRIED GARLIC BITS</t>
  </si>
  <si>
    <t>PR277</t>
  </si>
  <si>
    <t>FRIED GARLIC CHIPS</t>
  </si>
  <si>
    <t>PR278</t>
  </si>
  <si>
    <t>BAKED PARMESAN for Nonos salad</t>
  </si>
  <si>
    <t>PR279</t>
  </si>
  <si>
    <t>BAKED PARMESAN for Nonos side salad</t>
  </si>
  <si>
    <t>PR280</t>
  </si>
  <si>
    <t>BAKED PARMESAN for Caesar salad</t>
  </si>
  <si>
    <t>PR281</t>
  </si>
  <si>
    <t>Adobo Sauce</t>
  </si>
  <si>
    <t>PR282</t>
  </si>
  <si>
    <t>Sisig sauce</t>
  </si>
  <si>
    <t>PR283</t>
  </si>
  <si>
    <t>Salpicao Sauce</t>
  </si>
  <si>
    <t>PR284</t>
  </si>
  <si>
    <t>Miso Glazed</t>
  </si>
  <si>
    <t>PR285</t>
  </si>
  <si>
    <t>Marinated Beef tapa PR</t>
  </si>
  <si>
    <t>PR286</t>
  </si>
  <si>
    <t>BISTEK TAGALOG MARINATION</t>
  </si>
  <si>
    <t>PR287</t>
  </si>
  <si>
    <t>PINOY STYLE BEEF STEAK SAUCE PR</t>
  </si>
  <si>
    <t>PR288</t>
  </si>
  <si>
    <t>Boiled Pork Belly (Sisig)</t>
  </si>
  <si>
    <t>PR289</t>
  </si>
  <si>
    <t>ROASTED BEEF BELLY COOKED</t>
  </si>
  <si>
    <t>PR290</t>
  </si>
  <si>
    <t>GRAVY FOR BEEF BELLY - single</t>
  </si>
  <si>
    <t>PR291</t>
  </si>
  <si>
    <t>GRAVY FOR BEEF BELLY - big</t>
  </si>
  <si>
    <t>PR292</t>
  </si>
  <si>
    <t>GRAVY FOR BEEF BELLY - pp</t>
  </si>
  <si>
    <t>PR293</t>
  </si>
  <si>
    <t>GRAVY FOR FRIED CHICKEN-single</t>
  </si>
  <si>
    <t>PR294</t>
  </si>
  <si>
    <t>GRAVY FOR FRIED CHICKEN -big</t>
  </si>
  <si>
    <t>PR295</t>
  </si>
  <si>
    <t>GRAVY FOR FRIED CHICKEN -pp</t>
  </si>
  <si>
    <t>PR296</t>
  </si>
  <si>
    <t>GRAVY FOR FRIED CHICKEN -sliders</t>
  </si>
  <si>
    <t>PR297</t>
  </si>
  <si>
    <t>GRAVY FOR FRIED CHICKEN - crispy sandwich</t>
  </si>
  <si>
    <t>PR298</t>
  </si>
  <si>
    <t>GRAVY FOR FRIED CHICKEN - nibblers</t>
  </si>
  <si>
    <t>PR299</t>
  </si>
  <si>
    <t>PUMPKIN SOUP PREP- cup size (187.5 ml)</t>
  </si>
  <si>
    <t>PR303</t>
  </si>
  <si>
    <t>PUMPKIN SOUP PREP- regular (250 ml)</t>
  </si>
  <si>
    <t>PR304</t>
  </si>
  <si>
    <t>Corn Soup Base- cup size (187.5 ml)</t>
  </si>
  <si>
    <t>PR305</t>
  </si>
  <si>
    <t>Corn Soup Base - Regular size (250 ml)</t>
  </si>
  <si>
    <t>PR306</t>
  </si>
  <si>
    <t>Bolognese Sauce</t>
  </si>
  <si>
    <t>PR307</t>
  </si>
  <si>
    <t>Pesto Sauce PR</t>
  </si>
  <si>
    <t>PR308</t>
  </si>
  <si>
    <t>Mac n' Cheese Kid Prep</t>
  </si>
  <si>
    <t>PR309</t>
  </si>
  <si>
    <t>Mac n' Cheese Adult Prep</t>
  </si>
  <si>
    <t>PR310</t>
  </si>
  <si>
    <t>Cheese sauce- for Bacon and egg sandwich</t>
  </si>
  <si>
    <t>PR311</t>
  </si>
  <si>
    <t>NN Burger sauce</t>
  </si>
  <si>
    <t>PR312</t>
  </si>
  <si>
    <t>Onion Strings</t>
  </si>
  <si>
    <t>PR313</t>
  </si>
  <si>
    <t>SOUR CREAM IN ONION DIP for bacon and egg sandwich</t>
  </si>
  <si>
    <t>PR314</t>
  </si>
  <si>
    <t>Burger Patty</t>
  </si>
  <si>
    <t>PR315</t>
  </si>
  <si>
    <t>Potato Chips - single</t>
  </si>
  <si>
    <t>PR316</t>
  </si>
  <si>
    <t>Potato Chips - big</t>
  </si>
  <si>
    <t>PR317</t>
  </si>
  <si>
    <t>Potato Chips for Parmesan truffle fries</t>
  </si>
  <si>
    <t>PR318</t>
  </si>
  <si>
    <t>Potato Chips Regular (ala Carte)</t>
  </si>
  <si>
    <t>PR319</t>
  </si>
  <si>
    <t>Mediterranean herb mix</t>
  </si>
  <si>
    <t>PR320</t>
  </si>
  <si>
    <t>Spicy pizza sauce</t>
  </si>
  <si>
    <t>PR321</t>
  </si>
  <si>
    <t>Italian Sausage, cooked</t>
  </si>
  <si>
    <t>PR322</t>
  </si>
  <si>
    <t>BASE CABBAGE SALAD MIX for Oriental shrimp salad</t>
  </si>
  <si>
    <t>PR323</t>
  </si>
  <si>
    <t>BASE CABBAGE SALAD MIX for Crispy chicken sandwich</t>
  </si>
  <si>
    <t>PR324</t>
  </si>
  <si>
    <t>Kids Bolognese (80 ml)</t>
  </si>
  <si>
    <t>PR325</t>
  </si>
  <si>
    <t>Bolognese- single (150 ml)</t>
  </si>
  <si>
    <t>PR326</t>
  </si>
  <si>
    <t>Bolognese- Big (240 ml)</t>
  </si>
  <si>
    <t>PR327</t>
  </si>
  <si>
    <t>Bolognese- PP (750 ml)</t>
  </si>
  <si>
    <t>PR328</t>
  </si>
  <si>
    <t>Pesto cream solo- (45 grams)</t>
  </si>
  <si>
    <t>PR329</t>
  </si>
  <si>
    <t>Pesto cream Big- (90 grams)</t>
  </si>
  <si>
    <t>PR330</t>
  </si>
  <si>
    <t>Pesto cream PP- ( 225 grams)</t>
  </si>
  <si>
    <t>PR331</t>
  </si>
  <si>
    <t>Burger sliders - (40 grams)</t>
  </si>
  <si>
    <t>PR332</t>
  </si>
  <si>
    <t>Nono's Burger- (30 grams)</t>
  </si>
  <si>
    <t>PR333</t>
  </si>
  <si>
    <t>Potato Boiled</t>
  </si>
  <si>
    <t>PR334</t>
  </si>
  <si>
    <t>batch</t>
  </si>
  <si>
    <t>Marinated Porkchop</t>
  </si>
  <si>
    <t>PR335</t>
  </si>
  <si>
    <t>PRE BOILED/BAKED ADOBO LIEMPO- single serving</t>
  </si>
  <si>
    <t>PR336</t>
  </si>
  <si>
    <t>PRE BOILED/BAKED ADOBO LIEMPO- Big serving</t>
  </si>
  <si>
    <t>PR337</t>
  </si>
  <si>
    <t>PRE BOILED/BAKED ADOBO LIEMPO- PP</t>
  </si>
  <si>
    <t>PR338</t>
  </si>
  <si>
    <t>FRENCH ONION SOUP PREP- Beef stock</t>
  </si>
  <si>
    <t>PR339</t>
  </si>
  <si>
    <t>FISH - Smoked Milkfish- Prep</t>
  </si>
  <si>
    <t>PR440</t>
  </si>
  <si>
    <t>Ginger Turmeric with Lemongrass Extract</t>
  </si>
  <si>
    <t>PR441</t>
  </si>
  <si>
    <t>SPAGHETTI NOODLES COOKED</t>
  </si>
  <si>
    <t>PR442</t>
  </si>
  <si>
    <t>PENNE PASTA COOKED</t>
  </si>
  <si>
    <t>PR443</t>
  </si>
  <si>
    <t>SMALL PASTA SHELL COOKED</t>
  </si>
  <si>
    <t>PR444</t>
  </si>
  <si>
    <t>Japanese Corn on Cob</t>
  </si>
  <si>
    <t>PR445</t>
  </si>
  <si>
    <t>Chicken Teriyaki sauce</t>
  </si>
  <si>
    <t>PR446</t>
  </si>
  <si>
    <t>Breading for Onion strings- Bar chow</t>
  </si>
  <si>
    <t>PR447</t>
  </si>
  <si>
    <t>BATTER MIX FOR ONION STRING- Bar CHOW</t>
  </si>
  <si>
    <t>PR448</t>
  </si>
  <si>
    <t>Onion string dip- Bar chow</t>
  </si>
  <si>
    <t>PR449</t>
  </si>
  <si>
    <t>Herb Crusted PR</t>
  </si>
  <si>
    <t>PR450</t>
  </si>
  <si>
    <t>CHICKEN STOCK</t>
  </si>
  <si>
    <t>PR451</t>
  </si>
  <si>
    <t>ML</t>
  </si>
  <si>
    <t>Crispy Belly PR</t>
  </si>
  <si>
    <t>PR452</t>
  </si>
  <si>
    <t>Lechon Sauce PR</t>
  </si>
  <si>
    <t>PR453</t>
  </si>
  <si>
    <t>Hake Fish Marinated PR</t>
  </si>
  <si>
    <t>PR454</t>
  </si>
  <si>
    <t>Lemon Panko Breadings PR</t>
  </si>
  <si>
    <t>PR455</t>
  </si>
  <si>
    <t>GRAM</t>
  </si>
  <si>
    <t>Buttered Fried Fish PR</t>
  </si>
  <si>
    <t>PR456</t>
  </si>
  <si>
    <t>PULLED PORK PRODUCTION (OVEN BAKED)</t>
  </si>
  <si>
    <t>PR457</t>
  </si>
  <si>
    <t>PR458</t>
  </si>
  <si>
    <t>Baked Spaghetti Crust</t>
  </si>
  <si>
    <t>PR459</t>
  </si>
  <si>
    <t>DRY RUB - For BBQ Recipes</t>
  </si>
  <si>
    <t>PR460</t>
  </si>
  <si>
    <t>FRIED CHICKEN NIBBLERS PR</t>
  </si>
  <si>
    <t>PR461</t>
  </si>
  <si>
    <t>CHEESE SAUCE</t>
  </si>
  <si>
    <t>PR462</t>
  </si>
  <si>
    <t>BACON JAM</t>
  </si>
  <si>
    <t>PR463</t>
  </si>
  <si>
    <t>Elotes</t>
  </si>
  <si>
    <t>PR464</t>
  </si>
  <si>
    <t>PR465</t>
  </si>
  <si>
    <t>Balsamic BBQ Sauce 45g</t>
  </si>
  <si>
    <t>PR466</t>
  </si>
  <si>
    <t>FRUITS AND VEGETABLES</t>
  </si>
  <si>
    <t>Apple, Red</t>
  </si>
  <si>
    <t>FR040200002</t>
  </si>
  <si>
    <t>Arugula</t>
  </si>
  <si>
    <t>FR040100002</t>
  </si>
  <si>
    <t>Kg</t>
  </si>
  <si>
    <t>Asparagus</t>
  </si>
  <si>
    <t>FR040100003</t>
  </si>
  <si>
    <t>Atsuete</t>
  </si>
  <si>
    <t>FR010300199</t>
  </si>
  <si>
    <t>Avocado</t>
  </si>
  <si>
    <t>FP040802148</t>
  </si>
  <si>
    <t>Avocado, Hass</t>
  </si>
  <si>
    <t>FR040200414</t>
  </si>
  <si>
    <t>box</t>
  </si>
  <si>
    <t>Banana, lakatan</t>
  </si>
  <si>
    <t>FR040200004</t>
  </si>
  <si>
    <t>kg</t>
  </si>
  <si>
    <t>Basil, fresh</t>
  </si>
  <si>
    <t>FR040100005</t>
  </si>
  <si>
    <t>Bell Pepper, Red</t>
  </si>
  <si>
    <t>FR040100077</t>
  </si>
  <si>
    <t>Cabbage White</t>
  </si>
  <si>
    <t>FR040100078</t>
  </si>
  <si>
    <t>Calamansi, fresh</t>
  </si>
  <si>
    <t>FR040200011</t>
  </si>
  <si>
    <t>Carrots</t>
  </si>
  <si>
    <t>FR040100079</t>
  </si>
  <si>
    <t>Cashew Split 1kg, Smart Choice</t>
  </si>
  <si>
    <t>FD010200065</t>
  </si>
  <si>
    <t>Celery</t>
  </si>
  <si>
    <t>FR040100017</t>
  </si>
  <si>
    <t>Cherry Tomato</t>
  </si>
  <si>
    <t>FR040100018</t>
  </si>
  <si>
    <t>Chili Finger</t>
  </si>
  <si>
    <t>FR040100019</t>
  </si>
  <si>
    <t>Chili Labuyo</t>
  </si>
  <si>
    <t>FR040100020</t>
  </si>
  <si>
    <t>Cilantro</t>
  </si>
  <si>
    <t>FP040802145</t>
  </si>
  <si>
    <t>CORIANDER SEED</t>
  </si>
  <si>
    <t>FP040801013</t>
  </si>
  <si>
    <t>Cucumber</t>
  </si>
  <si>
    <t>FR040100016</t>
  </si>
  <si>
    <t>Dill Sprig Fresh</t>
  </si>
  <si>
    <t>FR040100023</t>
  </si>
  <si>
    <t>Egg Plant</t>
  </si>
  <si>
    <t>FR040100089</t>
  </si>
  <si>
    <t>Fine Beans</t>
  </si>
  <si>
    <t>FR040100025</t>
  </si>
  <si>
    <t>Fresh Mint Leaves</t>
  </si>
  <si>
    <t>FR040100036</t>
  </si>
  <si>
    <t>Fruit - Banana Saba /KG</t>
  </si>
  <si>
    <t>FR040200135</t>
  </si>
  <si>
    <t>Fruit - Pomelo/ kg (800g-1.2kg/pc)</t>
  </si>
  <si>
    <t>FP040802146</t>
  </si>
  <si>
    <t>Garlic, fresh, peeled</t>
  </si>
  <si>
    <t>FR040100030</t>
  </si>
  <si>
    <t>Garlic, whole</t>
  </si>
  <si>
    <t>FR040100137</t>
  </si>
  <si>
    <t>Ginger Fresh</t>
  </si>
  <si>
    <t>FR040100031</t>
  </si>
  <si>
    <t>Greek Yogurt 80 g</t>
  </si>
  <si>
    <t>FD050100070</t>
  </si>
  <si>
    <t>Green Peas Frozen</t>
  </si>
  <si>
    <t>FR040100088</t>
  </si>
  <si>
    <t>Japanese Corn</t>
  </si>
  <si>
    <t>FR040200038</t>
  </si>
  <si>
    <t>TS0452N013</t>
  </si>
  <si>
    <t>Lemon</t>
  </si>
  <si>
    <t>FR040200016</t>
  </si>
  <si>
    <t>Lemon Grass</t>
  </si>
  <si>
    <t>FR040100033</t>
  </si>
  <si>
    <t>LIME</t>
  </si>
  <si>
    <t>FP040802147</t>
  </si>
  <si>
    <t>can</t>
  </si>
  <si>
    <t>Mango (Semi Ripe)</t>
  </si>
  <si>
    <t>FR040200014</t>
  </si>
  <si>
    <t>Mango Jam 330g</t>
  </si>
  <si>
    <t>NH1511I004</t>
  </si>
  <si>
    <t>Pc</t>
  </si>
  <si>
    <t>Mango Pineapple  Jam 330g</t>
  </si>
  <si>
    <t>NH1511I006</t>
  </si>
  <si>
    <t>Mango, Ripe</t>
  </si>
  <si>
    <t>FR040200026</t>
  </si>
  <si>
    <t>Marble potato</t>
  </si>
  <si>
    <t>FR040100052</t>
  </si>
  <si>
    <t>Mushroom, shitake</t>
  </si>
  <si>
    <t>FR040100062</t>
  </si>
  <si>
    <t>Mushroom-Shiitake Whole Dried 250g (10packs/case)</t>
  </si>
  <si>
    <t>FR040100200</t>
  </si>
  <si>
    <t>Onion Leeks</t>
  </si>
  <si>
    <t>FR040100039</t>
  </si>
  <si>
    <t>Onion, red</t>
  </si>
  <si>
    <t>FR040100081</t>
  </si>
  <si>
    <t>Onion, white</t>
  </si>
  <si>
    <t>FR040100082</t>
  </si>
  <si>
    <t>Orange, Fresh</t>
  </si>
  <si>
    <t>FR040200019</t>
  </si>
  <si>
    <t>Parsley Flakes Dried, McCormick (150g/pack)</t>
  </si>
  <si>
    <t>FD030100033</t>
  </si>
  <si>
    <t>Parsley Fresh (Italian)</t>
  </si>
  <si>
    <t>FR040100046</t>
  </si>
  <si>
    <t>Peanut</t>
  </si>
  <si>
    <t>FD021000060</t>
  </si>
  <si>
    <t>Petchay Taiwan</t>
  </si>
  <si>
    <t>FR040100048</t>
  </si>
  <si>
    <t>Potato</t>
  </si>
  <si>
    <t>FR040100085</t>
  </si>
  <si>
    <t>Raw Sugar (Natural Health)</t>
  </si>
  <si>
    <t>FD010400002</t>
  </si>
  <si>
    <t>Red Cabbage</t>
  </si>
  <si>
    <t>FR040100013</t>
  </si>
  <si>
    <t>Red Grape, seedless</t>
  </si>
  <si>
    <t>FR040200039</t>
  </si>
  <si>
    <t>Romaine Greens Lolla Rossa</t>
  </si>
  <si>
    <t>FR040100054</t>
  </si>
  <si>
    <t>Romaine Lettuce</t>
  </si>
  <si>
    <t>FR040100055</t>
  </si>
  <si>
    <t>Romaine Red Lolla Rossa</t>
  </si>
  <si>
    <t>FR040100057</t>
  </si>
  <si>
    <t>Rosemary Leaves</t>
  </si>
  <si>
    <t>FD030100045</t>
  </si>
  <si>
    <t>Spinach, Baguio</t>
  </si>
  <si>
    <t>FR040100140</t>
  </si>
  <si>
    <t>Spring onion</t>
  </si>
  <si>
    <t>FR040100041</t>
  </si>
  <si>
    <t>Squash</t>
  </si>
  <si>
    <t>FR040100099</t>
  </si>
  <si>
    <t>Star Anise Fresh</t>
  </si>
  <si>
    <t>FR040100065</t>
  </si>
  <si>
    <t>Thyme Fresh</t>
  </si>
  <si>
    <t>FR040100069</t>
  </si>
  <si>
    <t>Tomato, Baguio</t>
  </si>
  <si>
    <t>FR040100071</t>
  </si>
  <si>
    <t>Tomato, Native</t>
  </si>
  <si>
    <t>FR040100072</t>
  </si>
  <si>
    <t>Turmeric Fresh</t>
  </si>
  <si>
    <t>FR040100212</t>
  </si>
  <si>
    <t>Watermelon</t>
  </si>
  <si>
    <t>FR040200031</t>
  </si>
  <si>
    <t>Zucchini</t>
  </si>
  <si>
    <t>FR040100076</t>
  </si>
  <si>
    <t>FROZEN ITEMS</t>
  </si>
  <si>
    <t>Inactive</t>
  </si>
  <si>
    <t>BOLOGNESE</t>
  </si>
  <si>
    <t>FP040900060</t>
  </si>
  <si>
    <t>CHEESE PIMENTO SPREAD</t>
  </si>
  <si>
    <t>FP040900052</t>
  </si>
  <si>
    <t>Chorizo Marinara</t>
  </si>
  <si>
    <t>FP040900061</t>
  </si>
  <si>
    <t>CORN CHOWDER</t>
  </si>
  <si>
    <t>FP040900049</t>
  </si>
  <si>
    <t>CREAMY TOMATO VODKA SAUCE</t>
  </si>
  <si>
    <t>FP040900054</t>
  </si>
  <si>
    <t>CROSTINIS</t>
  </si>
  <si>
    <t>FP040900055</t>
  </si>
  <si>
    <t>EL DIABLO</t>
  </si>
  <si>
    <t>FP040900056</t>
  </si>
  <si>
    <t>Garlic steak Frozen</t>
  </si>
  <si>
    <t>FP040900044</t>
  </si>
  <si>
    <t>NONO'S LONGGANISA RECADO</t>
  </si>
  <si>
    <t>FP040900048</t>
  </si>
  <si>
    <t>NONO'S TAPA</t>
  </si>
  <si>
    <t>FP040900046</t>
  </si>
  <si>
    <t>PESTO CREAM SAUCE</t>
  </si>
  <si>
    <t>FP040900051</t>
  </si>
  <si>
    <t>Pork Balsamic adobo</t>
  </si>
  <si>
    <t>FP040900043</t>
  </si>
  <si>
    <t>PORK CHOP</t>
  </si>
  <si>
    <t>FP040900045</t>
  </si>
  <si>
    <t>PORK SISIG</t>
  </si>
  <si>
    <t>FP040900047</t>
  </si>
  <si>
    <t>PUTANESCA</t>
  </si>
  <si>
    <t>FP040900057</t>
  </si>
  <si>
    <t>ROASTED SQUASH SOUP</t>
  </si>
  <si>
    <t>FP040900050</t>
  </si>
  <si>
    <t>SARDINE GARLIC PASTA SAUCE</t>
  </si>
  <si>
    <t>FP040900059</t>
  </si>
  <si>
    <t>SPIN DIP</t>
  </si>
  <si>
    <t>FP040900053</t>
  </si>
  <si>
    <t>TOMATO HERB SAUCE</t>
  </si>
  <si>
    <t>FP040900058</t>
  </si>
  <si>
    <t>DRINKS</t>
  </si>
  <si>
    <t>Bacardi Gold 750ML</t>
  </si>
  <si>
    <t>FD060200012</t>
  </si>
  <si>
    <t>Bottle</t>
  </si>
  <si>
    <t>Badoit 330ML (20Bottle/Case)</t>
  </si>
  <si>
    <t>FD030100185</t>
  </si>
  <si>
    <t>Case</t>
  </si>
  <si>
    <t>Beer in can (Pilsen)</t>
  </si>
  <si>
    <t>FD060200069</t>
  </si>
  <si>
    <t>Beringer Main &amp; Vine Chardonnay 750ml</t>
  </si>
  <si>
    <t>FD020600103</t>
  </si>
  <si>
    <t>Beringer Main &amp; Vine White Zinfandel 750ml</t>
  </si>
  <si>
    <t>FD020600104</t>
  </si>
  <si>
    <t>Beringer Main&amp;Vine Cabernet Sauvignon 750ml</t>
  </si>
  <si>
    <t>FD020600102</t>
  </si>
  <si>
    <t>Calamansi Extract 1 Lit (10 bote/case)</t>
  </si>
  <si>
    <t>FR040200010</t>
  </si>
  <si>
    <t>Caramel Sauce (4gal/case)</t>
  </si>
  <si>
    <t>IC040100001</t>
  </si>
  <si>
    <t>GAL</t>
  </si>
  <si>
    <t>Caramel Sauce 4 X1.89 (CASE/LITERS)</t>
  </si>
  <si>
    <t>FP051000313</t>
  </si>
  <si>
    <t>CBTL Italian Espresso Capsule</t>
  </si>
  <si>
    <t>FP040400088</t>
  </si>
  <si>
    <t>CBTL Premium Decaf Espresso Capsule</t>
  </si>
  <si>
    <t>FP040400012</t>
  </si>
  <si>
    <t>CBTL PREMIUM ESPRESSO CAPSULE</t>
  </si>
  <si>
    <t>FP040400013</t>
  </si>
  <si>
    <t>Ceylon Tea</t>
  </si>
  <si>
    <t>FD060400002</t>
  </si>
  <si>
    <t>CFB - Cappuccino (Hot)</t>
  </si>
  <si>
    <t>NON04090027</t>
  </si>
  <si>
    <t>order</t>
  </si>
  <si>
    <t>CFB - Gibraltar (Hot)</t>
  </si>
  <si>
    <t>NON06090029</t>
  </si>
  <si>
    <t>CFB - Long Black (Hot)</t>
  </si>
  <si>
    <t>NON02090025</t>
  </si>
  <si>
    <t>Chai T-bag Bulk 50's</t>
  </si>
  <si>
    <t>IC030100005</t>
  </si>
  <si>
    <t>BAG</t>
  </si>
  <si>
    <t>Chamomile tea CBTL 18/box</t>
  </si>
  <si>
    <t>IC030100031</t>
  </si>
  <si>
    <t>Chateau Gantonnet Bordeaux Blanc 2016 750ml(12bot)</t>
  </si>
  <si>
    <t>FD020600105</t>
  </si>
  <si>
    <t>Chocolate Callets Dark 2.5kg, Callebaut (8pcs/box) - INACTIVE</t>
  </si>
  <si>
    <t>FD010600015</t>
  </si>
  <si>
    <t>Chocolate Callets Dark 2kg, El Pao (6packs/box)</t>
  </si>
  <si>
    <t>FD030300125</t>
  </si>
  <si>
    <t>Chocolate Sauce (4gal/case)</t>
  </si>
  <si>
    <t>IC040100002</t>
  </si>
  <si>
    <t>Gal</t>
  </si>
  <si>
    <t>Chocolate Special Dutch 3-10lb bag</t>
  </si>
  <si>
    <t>IC020100002</t>
  </si>
  <si>
    <t>CLOS DE VERDOTS-PINOT SAUV 2015</t>
  </si>
  <si>
    <t>Coffee Instant 1kg (6 packs/case) - INACTIVE</t>
  </si>
  <si>
    <t>FD010100006</t>
  </si>
  <si>
    <t>Coffee Instant 5kg (2 packs/case)</t>
  </si>
  <si>
    <t>FD010100073</t>
  </si>
  <si>
    <t>coffex chocolate powder</t>
  </si>
  <si>
    <t>212A2F</t>
  </si>
  <si>
    <t>Coke - regular</t>
  </si>
  <si>
    <t>FD060100003</t>
  </si>
  <si>
    <t>FD060100005</t>
  </si>
  <si>
    <t>Da Vinci Blueberry Syrup</t>
  </si>
  <si>
    <t>IC040100006</t>
  </si>
  <si>
    <t>Dalandan Extract with Honey 350ml (24bots/case)</t>
  </si>
  <si>
    <t>FP050900001</t>
  </si>
  <si>
    <t>Discovery Blend 13, Coffex</t>
  </si>
  <si>
    <t>236A2A</t>
  </si>
  <si>
    <t>Domaine de Mauperthuis Bourgone Blanc 750ml</t>
  </si>
  <si>
    <t>FD020600106</t>
  </si>
  <si>
    <t>Domaine de Mauperthuis Pinot Noir</t>
  </si>
  <si>
    <t>FD020600116</t>
  </si>
  <si>
    <t xml:space="preserve">DOMAINE DU GRAND ARC CORIERES 2011- 2011 </t>
  </si>
  <si>
    <t>English breakfast CBTL 18/box</t>
  </si>
  <si>
    <t>IC030100032</t>
  </si>
  <si>
    <t>English Breakfast T-Bag Bulk 50's</t>
  </si>
  <si>
    <t>FP040801111</t>
  </si>
  <si>
    <t xml:space="preserve">Espresso Beans - Blend A </t>
  </si>
  <si>
    <t>Temp code 13</t>
  </si>
  <si>
    <t>CASE</t>
  </si>
  <si>
    <t>Ethiopia Natural Coffee Bulk, 2lb (4 bags/case)</t>
  </si>
  <si>
    <t>IC020100041</t>
  </si>
  <si>
    <t>Bag</t>
  </si>
  <si>
    <t>Extract Beans Bulk, CBTL</t>
  </si>
  <si>
    <t>IC010100004</t>
  </si>
  <si>
    <t>NON02090003</t>
  </si>
  <si>
    <t>Ginger Powder, McCormick</t>
  </si>
  <si>
    <t>FD030100022</t>
  </si>
  <si>
    <t>Ginger turmeric tea</t>
  </si>
  <si>
    <t>Ginger Lemon Tea</t>
  </si>
  <si>
    <t>Batch</t>
  </si>
  <si>
    <t>Ginger turmeric tea with lemongrass</t>
  </si>
  <si>
    <t>Lemon Grass Tea</t>
  </si>
  <si>
    <t>Ginseng Peppermint T-Bag Bulk 50's</t>
  </si>
  <si>
    <t>IC030100011</t>
  </si>
  <si>
    <t>Hazelnut Chocolate Syrup 1Lit, CBTL  (6 bot/case)</t>
  </si>
  <si>
    <t>FP051000314</t>
  </si>
  <si>
    <t>Heineken Beer 330ml (24bot/case)</t>
  </si>
  <si>
    <t>FD060200043</t>
  </si>
  <si>
    <t>Hope in a Bottle (24 bot/case)</t>
  </si>
  <si>
    <t>FD060300001</t>
  </si>
  <si>
    <t>HOPE IN A BOX 330ML (12TETRA/CASE)</t>
  </si>
  <si>
    <t>FD060300005</t>
  </si>
  <si>
    <t>Iced Tea Premium Royal 1kg (24packs/case)</t>
  </si>
  <si>
    <t>FD040200055</t>
  </si>
  <si>
    <t>Jose Cuervo Gold 750ML</t>
  </si>
  <si>
    <t>FD060200055</t>
  </si>
  <si>
    <t>Juice - Mango 2L, Generic</t>
  </si>
  <si>
    <t>FD060400005</t>
  </si>
  <si>
    <t>KERRY Chocolate Powder (1.5 kg/ bag), CBTL</t>
  </si>
  <si>
    <t>109A2B</t>
  </si>
  <si>
    <t>KERRY Dark Chocolate Powder (1.5 kg/ bag), CBTL</t>
  </si>
  <si>
    <t>110A2B</t>
  </si>
  <si>
    <t>Lamadoro Primitivo</t>
  </si>
  <si>
    <t>263A2B</t>
  </si>
  <si>
    <t>Lemon Chamomile T-Bag Bulk 50's</t>
  </si>
  <si>
    <t>IC030100014</t>
  </si>
  <si>
    <t xml:space="preserve">Lionel Osmin La Reserve Sauvignon Blanc </t>
  </si>
  <si>
    <t>FD020600117</t>
  </si>
  <si>
    <t>MITTNACHT - PINOT 2015</t>
  </si>
  <si>
    <t>Nono's Iced Tea (Batch)</t>
  </si>
  <si>
    <t>Orange Juice, Premium</t>
  </si>
  <si>
    <t>FD060400009</t>
  </si>
  <si>
    <t>Peppermint Tea CBTL 18/Box</t>
  </si>
  <si>
    <t>IC030100033</t>
  </si>
  <si>
    <t>Perrier Mineral Water</t>
  </si>
  <si>
    <t>FD060300002</t>
  </si>
  <si>
    <t>Pink Guava Juice</t>
  </si>
  <si>
    <t>FD060400014</t>
  </si>
  <si>
    <t>RTD Mocha Latte</t>
  </si>
  <si>
    <t>FP040500007</t>
  </si>
  <si>
    <t>SAINT JAC. DE SIRAN 2011</t>
  </si>
  <si>
    <t>San Pellegrino Water 250 ml</t>
  </si>
  <si>
    <t>FP040800221</t>
  </si>
  <si>
    <t>SMB Light 330ml (24bot/case)</t>
  </si>
  <si>
    <t>FD060200074</t>
  </si>
  <si>
    <t>SMB Pale Pilsen 320ml (24bot/case)</t>
  </si>
  <si>
    <t>FD060200075</t>
  </si>
  <si>
    <t>Sprite in Can 24x330ml</t>
  </si>
  <si>
    <t>FD060100016</t>
  </si>
  <si>
    <t>Stevia Sachet</t>
  </si>
  <si>
    <t>FD010400004</t>
  </si>
  <si>
    <t>Tablea Chocolate 200g, Alfonso's (12rolls/ case)</t>
  </si>
  <si>
    <t>FD010600012</t>
  </si>
  <si>
    <t>Tea Bag - Ginseng Peppermint</t>
  </si>
  <si>
    <t>211A2B</t>
  </si>
  <si>
    <t>Tea Bag - Lemon Chamomile</t>
  </si>
  <si>
    <t>213A2B</t>
  </si>
  <si>
    <t>TEA W/ CALAMANSI 1.9 LIT (6 BOT/CASE)</t>
  </si>
  <si>
    <t>FD060400015</t>
  </si>
  <si>
    <t>Turmeric Powder, McCormick</t>
  </si>
  <si>
    <t>FD030100067</t>
  </si>
  <si>
    <t>VIENNESE COFFEE BULK, CBTL</t>
  </si>
  <si>
    <t>IC010100005</t>
  </si>
  <si>
    <t>VIÑA ALBALI CHARDONNAY</t>
  </si>
  <si>
    <t>FD080200065</t>
  </si>
  <si>
    <t>Whole Milk  1Lit</t>
  </si>
  <si>
    <t>FP010101352</t>
  </si>
  <si>
    <t>tetra</t>
  </si>
  <si>
    <t>Whole Milk  1Lit (12 Tetra/case), EDI</t>
  </si>
  <si>
    <t>FP010101350</t>
  </si>
  <si>
    <t>Whole Milk (3%)</t>
  </si>
  <si>
    <t>FD030200270</t>
  </si>
  <si>
    <t>bot</t>
  </si>
  <si>
    <t>Whole Milk 1Lit (6Tetra/case), EDI</t>
  </si>
  <si>
    <t>FP010101668</t>
  </si>
  <si>
    <t>Wine - Chateau Gantonet Bordeaux Rouge 750ml</t>
  </si>
  <si>
    <t>FD020600119</t>
  </si>
  <si>
    <t>Wine - Lionel Osmin Malbec 750ml</t>
  </si>
  <si>
    <t>FD020600120</t>
  </si>
  <si>
    <t>Wine - St. Francis Chardonnay 750ml</t>
  </si>
  <si>
    <t>FD020600118</t>
  </si>
  <si>
    <t>Wine- Camille de Labrie 2014 750ml</t>
  </si>
  <si>
    <t>FD020600107</t>
  </si>
  <si>
    <t>WINE- CAVA AZIMUT BRUT 750ML (12BOT/CASE)</t>
  </si>
  <si>
    <t>NF020107293</t>
  </si>
  <si>
    <t>WINE- MARQUES DE RISCAL PROXIMO 750ML</t>
  </si>
  <si>
    <t>FD080200064</t>
  </si>
  <si>
    <t>bottle</t>
  </si>
  <si>
    <t>WINE- RUFFINO ORVIETO CLASSICO DOC 750ML</t>
  </si>
  <si>
    <t>265A2B</t>
  </si>
  <si>
    <t>Retail</t>
  </si>
  <si>
    <t>Kettle Chips, Honey Dijon 2oz (24pc/case)</t>
  </si>
  <si>
    <t>FP040600256</t>
  </si>
  <si>
    <t>RETAIL</t>
  </si>
  <si>
    <t>Kettle Chips,Sea Salt 2oz (24pc/case)</t>
  </si>
  <si>
    <t>FP040600255</t>
  </si>
  <si>
    <t>NANO ZINC 60ML GREEN TEA 12'S  (12PACKS/CASE)</t>
  </si>
  <si>
    <t>NF020108445</t>
  </si>
  <si>
    <t>case</t>
  </si>
  <si>
    <t>NANO ZINC 60ML LAVENDER 12'S  (12PACKS/CASE)</t>
  </si>
  <si>
    <t>NF020108444</t>
  </si>
  <si>
    <t>Nono's Discovery Blend 250g</t>
  </si>
  <si>
    <t>NON03040013-1</t>
  </si>
  <si>
    <t>Retail Coffee Ethiopia Natural</t>
  </si>
  <si>
    <t>BST04020021-1</t>
  </si>
  <si>
    <t>Set</t>
  </si>
  <si>
    <t>Retail Earl Grey Tea</t>
  </si>
  <si>
    <t>IC040100055</t>
  </si>
  <si>
    <t>tin</t>
  </si>
  <si>
    <t>Retail Lemon Chamomile Tea 60G, CBTL (4 TINS/CASE)</t>
  </si>
  <si>
    <t>FP040300027</t>
  </si>
  <si>
    <t>TIN</t>
  </si>
  <si>
    <t>Retail Moroccan Mint Tea 60g, CBTL (4 tins/case)</t>
  </si>
  <si>
    <t>FP040300028</t>
  </si>
  <si>
    <t>TBK Items</t>
  </si>
  <si>
    <t xml:space="preserve"> </t>
  </si>
  <si>
    <t>Argellanas</t>
  </si>
  <si>
    <t>TBK000I003</t>
  </si>
  <si>
    <t>Baked Mushroom Chicharon</t>
  </si>
  <si>
    <t>TBK000I526</t>
  </si>
  <si>
    <t>Banana Macademia Jam</t>
  </si>
  <si>
    <t>TBK000I575</t>
  </si>
  <si>
    <t>Bangus in Olive Oil</t>
  </si>
  <si>
    <t>TBK000I080</t>
  </si>
  <si>
    <t>BBQ Chichapops</t>
  </si>
  <si>
    <t>TBK000I604</t>
  </si>
  <si>
    <t>Bicol Express - Pork</t>
  </si>
  <si>
    <t>TBK000I085</t>
  </si>
  <si>
    <t>Bicol Express Santol</t>
  </si>
  <si>
    <t>TBK000I086</t>
  </si>
  <si>
    <t>Boneless Spicy Daing</t>
  </si>
  <si>
    <t>TBK000I089</t>
  </si>
  <si>
    <t>Camote Chips-Garlic</t>
  </si>
  <si>
    <t>TBK000I090</t>
  </si>
  <si>
    <t>Cheese Chichapops</t>
  </si>
  <si>
    <t>TBK000I634</t>
  </si>
  <si>
    <t>Creamy Carabao's Milk Pastillas</t>
  </si>
  <si>
    <t>TBK000I583</t>
  </si>
  <si>
    <t>Crispy Dilis</t>
  </si>
  <si>
    <t>TBK000I096</t>
  </si>
  <si>
    <t>Eco Bag Gift Set Packaging</t>
  </si>
  <si>
    <t>TBK000I653</t>
  </si>
  <si>
    <t>Garlic Tuyo</t>
  </si>
  <si>
    <t>TBK000I104</t>
  </si>
  <si>
    <t>Homemade Spicy Laing</t>
  </si>
  <si>
    <t>TBK000I616</t>
  </si>
  <si>
    <t>Just Fruit Mango</t>
  </si>
  <si>
    <t>TBK000I296</t>
  </si>
  <si>
    <t>Kropek</t>
  </si>
  <si>
    <t>TBK000I223</t>
  </si>
  <si>
    <t>Oatmeal Crisps</t>
  </si>
  <si>
    <t>TBK000I043</t>
  </si>
  <si>
    <t>P.B Coconut Sugar</t>
  </si>
  <si>
    <t>TBK000I459</t>
  </si>
  <si>
    <t>P.B Muscuvado</t>
  </si>
  <si>
    <t>TBK000I460</t>
  </si>
  <si>
    <t>Palilios de Joe</t>
  </si>
  <si>
    <t>TBK000I049</t>
  </si>
  <si>
    <t>Pampanga's Pure Aligue</t>
  </si>
  <si>
    <t>TBK000I124</t>
  </si>
  <si>
    <t>Peanut Barquillos</t>
  </si>
  <si>
    <t>TBK000I050</t>
  </si>
  <si>
    <t>Salted Egg Potato Chips</t>
  </si>
  <si>
    <t>TBK000I266</t>
  </si>
  <si>
    <t>Sansrival Cookies</t>
  </si>
  <si>
    <t>TBK000I592</t>
  </si>
  <si>
    <t>Sinaing na Tawilis</t>
  </si>
  <si>
    <t>TBK000I137</t>
  </si>
  <si>
    <t>Sinaing na Tulingan</t>
  </si>
  <si>
    <t>TBK000I138</t>
  </si>
  <si>
    <t>Spanish Sardines</t>
  </si>
  <si>
    <t>TBK000I580</t>
  </si>
  <si>
    <t>Spicy Inadobong Bangus</t>
  </si>
  <si>
    <t>TBK000I467</t>
  </si>
  <si>
    <t>Spicy Tuyo</t>
  </si>
  <si>
    <t>TBK000I143</t>
  </si>
  <si>
    <t>Sweet Corn Chichapop</t>
  </si>
  <si>
    <t>TBK000I639</t>
  </si>
  <si>
    <t>TBK Gift Set 1499</t>
  </si>
  <si>
    <t>NON05110010-1</t>
  </si>
  <si>
    <t>TBK Gift Set 1999</t>
  </si>
  <si>
    <t>NON06120011-1</t>
  </si>
  <si>
    <t>TBK Gift Set 2199</t>
  </si>
  <si>
    <t>NON03030031</t>
  </si>
  <si>
    <t>TBK Gift Set 999</t>
  </si>
  <si>
    <t>NON04100009-1</t>
  </si>
  <si>
    <t>Toasted Pastillas</t>
  </si>
  <si>
    <t>TBK000I282</t>
  </si>
  <si>
    <t>Uraro Bites</t>
  </si>
  <si>
    <t>TBK000I070</t>
  </si>
  <si>
    <t>Veggies Chips</t>
  </si>
  <si>
    <t>TBK000I476</t>
  </si>
  <si>
    <t>Very Buttery Lenguas de Gato-Almond</t>
  </si>
  <si>
    <t>TBK000I162</t>
  </si>
  <si>
    <t>Very Buttery Lenguas de Gato-Plain</t>
  </si>
  <si>
    <t>TBK000I164</t>
  </si>
  <si>
    <t>Very Buttery Lenguas de Gato-Ube</t>
  </si>
  <si>
    <t>TBK000I166</t>
  </si>
  <si>
    <t>NHI Items</t>
  </si>
  <si>
    <t>Banana Chips, Archipelago</t>
  </si>
  <si>
    <t>FP040600001</t>
  </si>
  <si>
    <t>Coated Cacao Naked Nibs 125g,Archipelago</t>
  </si>
  <si>
    <t>FP040600298</t>
  </si>
  <si>
    <t>Coated Cacao Nibs 125g, Archipelago</t>
  </si>
  <si>
    <t>FP040600003</t>
  </si>
  <si>
    <t xml:space="preserve">Coconut Jam 330g, Archipelago </t>
  </si>
  <si>
    <t>FP040600297</t>
  </si>
  <si>
    <t>Coconut sap sugar 250g, Archipelago</t>
  </si>
  <si>
    <t>FP040600302</t>
  </si>
  <si>
    <t>Coconut sap sugar 3.5g 50s,Archipelago</t>
  </si>
  <si>
    <t>FP040600301</t>
  </si>
  <si>
    <t>Fruit &amp; Nut Bar, Archipelago</t>
  </si>
  <si>
    <t>FP040600005</t>
  </si>
  <si>
    <t>Goodnight Drink</t>
  </si>
  <si>
    <t>FP040500013</t>
  </si>
  <si>
    <t>Mango Bites, Archipelago</t>
  </si>
  <si>
    <t>FP040600013</t>
  </si>
  <si>
    <t>Skimmed Milk 1Lit, Generic (6LIT/case)</t>
  </si>
  <si>
    <t>FP010101654</t>
  </si>
  <si>
    <t>Stevia 1g 30's, Archipelago</t>
  </si>
  <si>
    <t>FP040600300</t>
  </si>
  <si>
    <t>Sunshine Granola, Archipelago</t>
  </si>
  <si>
    <t>FP040600245</t>
  </si>
  <si>
    <t>Superfood Trail Mix, Archipelago</t>
  </si>
  <si>
    <t>FP040600015</t>
  </si>
  <si>
    <t>Whole Milk (1Lit/Tetra), Generic - Arla</t>
  </si>
  <si>
    <t>FR010300012</t>
  </si>
  <si>
    <t>Machine</t>
  </si>
  <si>
    <t>Coffee Machine - Clio Grey, CBTL</t>
  </si>
  <si>
    <t>FI010200018</t>
  </si>
  <si>
    <t>MACHINE</t>
  </si>
  <si>
    <t>Unit</t>
  </si>
  <si>
    <t>Desto Machine  Black - Silver</t>
  </si>
  <si>
    <t>FP040800710</t>
  </si>
  <si>
    <t>Desto Machine  White - Silver</t>
  </si>
  <si>
    <t>FP040800709</t>
  </si>
  <si>
    <t>OPERATING SUPPLIES/OFFICE SUPPLIES/SMALLWARES/MARKETING</t>
  </si>
  <si>
    <t>1P-C16 Plastic Container Round w/lid</t>
  </si>
  <si>
    <t>TS1214I048</t>
  </si>
  <si>
    <t>2 Ply Journal paper</t>
  </si>
  <si>
    <t>NF030100036</t>
  </si>
  <si>
    <t>26TH ST. HIGH TEMP SPATULA 16.5</t>
  </si>
  <si>
    <t>DS010200023</t>
  </si>
  <si>
    <t>26TH ST.FOOD CONTAINER LOCK &amp; LOCK 1.9 L</t>
  </si>
  <si>
    <t>DS010100034</t>
  </si>
  <si>
    <t>3.5 INTERNAL HARD DISK DRIVE 2TB, SEAGATE</t>
  </si>
  <si>
    <t>FI040200048</t>
  </si>
  <si>
    <t>EQUIPMENT</t>
  </si>
  <si>
    <t>UNIT</t>
  </si>
  <si>
    <t>4 DOOR CHILLER-HOSHIZAKI S# J10971K</t>
  </si>
  <si>
    <t>FI041000004</t>
  </si>
  <si>
    <t>4 DOOR FREEZER-HOSHIZAKI S# J01155C</t>
  </si>
  <si>
    <t>FI010300009</t>
  </si>
  <si>
    <t>4-COMPARTMENT CONDIMENT HOLDER-SS, TRAEX</t>
  </si>
  <si>
    <t>DS010500073</t>
  </si>
  <si>
    <t>Acrylic Angle A4</t>
  </si>
  <si>
    <t>CP0213N002</t>
  </si>
  <si>
    <t>Acrylic Cookie Standee</t>
  </si>
  <si>
    <t>CP0217N333</t>
  </si>
  <si>
    <t>AIRTIGHT RECTANGULAR CONTAINER 1000ML, LOCK &amp; LOCK</t>
  </si>
  <si>
    <t>DS010100079</t>
  </si>
  <si>
    <t>AIRTIGHT ROUND CONTAINER 360ML, LOCK &amp; LOCK</t>
  </si>
  <si>
    <t>DS010100077</t>
  </si>
  <si>
    <t>Alcohol, Gallon (1 case x 4 pc)</t>
  </si>
  <si>
    <t>FP010101140</t>
  </si>
  <si>
    <t>gal</t>
  </si>
  <si>
    <t>All Purpose Cleaner, Suma Optima 5Lit (2bot/case)</t>
  </si>
  <si>
    <t>NF020102975</t>
  </si>
  <si>
    <t>Galon</t>
  </si>
  <si>
    <t>NF010200006</t>
  </si>
  <si>
    <t>roll</t>
  </si>
  <si>
    <t>DS010200044</t>
  </si>
  <si>
    <t xml:space="preserve">Aluminum Square Tray </t>
  </si>
  <si>
    <t>DS020600096</t>
  </si>
  <si>
    <t>Ballpen - Black</t>
  </si>
  <si>
    <t>NF030100002</t>
  </si>
  <si>
    <t>Bamboo Slider 18cm</t>
  </si>
  <si>
    <t>NF010300077</t>
  </si>
  <si>
    <t>Belle Double wall (Gibraltar) 3.75oz, Crate&amp;Barrel</t>
  </si>
  <si>
    <t>DS010500045</t>
  </si>
  <si>
    <t>Bodum Pavina Glass 2.5 oz s/2</t>
  </si>
  <si>
    <t>FP040800704</t>
  </si>
  <si>
    <t>Box</t>
  </si>
  <si>
    <t>BOUILLON STRAINER 9", PUJADAS</t>
  </si>
  <si>
    <t>DS010500074</t>
  </si>
  <si>
    <t>BOWL - MINI SOUP BOWL MARBLE 279ML, LUZERNE</t>
  </si>
  <si>
    <t>DS010300297</t>
  </si>
  <si>
    <t>BOWL - WOODEN 8 X 3"</t>
  </si>
  <si>
    <t>DS010300458</t>
  </si>
  <si>
    <t>NF010200096</t>
  </si>
  <si>
    <t>NF010200095</t>
  </si>
  <si>
    <t>Cake Board #10, CCI (100pcs/pack)</t>
  </si>
  <si>
    <t>NF010300163</t>
  </si>
  <si>
    <t>Cake Board #8, CCI (100pcs/pack)</t>
  </si>
  <si>
    <t>NF010300165</t>
  </si>
  <si>
    <t>CAKE DIVIDER 12"</t>
  </si>
  <si>
    <t>DS010200003</t>
  </si>
  <si>
    <t>Cake Plate</t>
  </si>
  <si>
    <t>DS010300004</t>
  </si>
  <si>
    <t>CAKE PLATTER CLEAR W/ DOME LID - 24CM</t>
  </si>
  <si>
    <t>DS010300356</t>
  </si>
  <si>
    <t>CAKE PLATTER CLEAR W/ LID - 34.5CM</t>
  </si>
  <si>
    <t>DS010300355</t>
  </si>
  <si>
    <t>CAKE PLATTER CLEAR W/O LID - 31CM</t>
  </si>
  <si>
    <t>DS010300353</t>
  </si>
  <si>
    <t>CAKE PLATTER GLASS W/ LID - 26.5CM</t>
  </si>
  <si>
    <t>DS010300298</t>
  </si>
  <si>
    <t>CAKE PLATTER, SS W/ LID</t>
  </si>
  <si>
    <t>DS010300352</t>
  </si>
  <si>
    <t>CAKE SLICER</t>
  </si>
  <si>
    <t>DS010100005</t>
  </si>
  <si>
    <t>Cake Tub w/Lid</t>
  </si>
  <si>
    <t>DS010200007</t>
  </si>
  <si>
    <t>Calculator</t>
  </si>
  <si>
    <t>CP0215N024</t>
  </si>
  <si>
    <t>CALL BELL</t>
  </si>
  <si>
    <t>DS010300005</t>
  </si>
  <si>
    <t>Candle - Happy Bday #2</t>
  </si>
  <si>
    <t>NF020200002</t>
  </si>
  <si>
    <t>Cap Seal 25mm x 95mm (1,000's/pack)</t>
  </si>
  <si>
    <t>DS010300327</t>
  </si>
  <si>
    <t>Carafe Pitcher</t>
  </si>
  <si>
    <t>DS010400003</t>
  </si>
  <si>
    <t>Caramel Pump</t>
  </si>
  <si>
    <t>FP040800833</t>
  </si>
  <si>
    <t>CARING CUP HEADER SQUARE 8.5X8.5(GENERIC)</t>
  </si>
  <si>
    <t>NF020103294</t>
  </si>
  <si>
    <t>CC Cake Box #8</t>
  </si>
  <si>
    <t>NF010300010</t>
  </si>
  <si>
    <t>CCI - Big Candle</t>
  </si>
  <si>
    <t>TS0412I033</t>
  </si>
  <si>
    <t>CCI - White Kraft Paper Bag#12</t>
  </si>
  <si>
    <t>TS0412I161</t>
  </si>
  <si>
    <t>bundle</t>
  </si>
  <si>
    <t>CCI Bar Box</t>
  </si>
  <si>
    <t>NF010300169</t>
  </si>
  <si>
    <t>CCI Bread Sticker</t>
  </si>
  <si>
    <t>NF010300045</t>
  </si>
  <si>
    <t>BUNDLE</t>
  </si>
  <si>
    <t>CCI Bread Wrapper</t>
  </si>
  <si>
    <t>NF010300006</t>
  </si>
  <si>
    <t>CCI Cake Board #4.5</t>
  </si>
  <si>
    <t>NF010300164</t>
  </si>
  <si>
    <t>CCI Cake Box - Individual Cake</t>
  </si>
  <si>
    <t>NF010300008</t>
  </si>
  <si>
    <t>CCI Cake Box #10</t>
  </si>
  <si>
    <t>NF010300009</t>
  </si>
  <si>
    <t>CCI Cake Tag - Generic</t>
  </si>
  <si>
    <t>TS0420I006</t>
  </si>
  <si>
    <t>CCI Candle 12Pcs /Pack (Free)</t>
  </si>
  <si>
    <t>NF020200016</t>
  </si>
  <si>
    <t>CCI Candle 24Pcs /Pack (Free)</t>
  </si>
  <si>
    <t>NF020200017</t>
  </si>
  <si>
    <t>CCI Disposable Plastic Gloves</t>
  </si>
  <si>
    <t>NF010200041</t>
  </si>
  <si>
    <t>CCI Holiday Silver Ribbon</t>
  </si>
  <si>
    <t>NF010800024</t>
  </si>
  <si>
    <t>CCI Holiday Snow Flakes, Silver</t>
  </si>
  <si>
    <t>NF010800028</t>
  </si>
  <si>
    <t>CCI Hot Cup Lid 8oz</t>
  </si>
  <si>
    <t>NF030100111</t>
  </si>
  <si>
    <t>SLV</t>
  </si>
  <si>
    <t>CCI Kraft Gussett</t>
  </si>
  <si>
    <t>CP0413I045</t>
  </si>
  <si>
    <t>CCI MONOGRAM STICKER</t>
  </si>
  <si>
    <t>TS0412I013</t>
  </si>
  <si>
    <t>CCI Paper Bag - Large</t>
  </si>
  <si>
    <t>NF010300031</t>
  </si>
  <si>
    <t>CCI Paper Bag - Medium</t>
  </si>
  <si>
    <t>NF010300033</t>
  </si>
  <si>
    <t>CCI Paper Bag - Small</t>
  </si>
  <si>
    <t>NF010300152</t>
  </si>
  <si>
    <t>CCI Pastry Tag</t>
  </si>
  <si>
    <t>NF020500168</t>
  </si>
  <si>
    <t>CCI Plastic Cake Container 10"</t>
  </si>
  <si>
    <t>CP0413I013</t>
  </si>
  <si>
    <t>CCI Plastic Cake Container 8"</t>
  </si>
  <si>
    <t>CP0413I015</t>
  </si>
  <si>
    <t>CCI Ribbon 1/4" - Gray</t>
  </si>
  <si>
    <t>NF010500002</t>
  </si>
  <si>
    <t>CCI Ripple Cup 8 oz</t>
  </si>
  <si>
    <t>NF010300068</t>
  </si>
  <si>
    <t>CCI Sparkling Candle</t>
  </si>
  <si>
    <t>NF020200003</t>
  </si>
  <si>
    <t>CCI Stirrer - Black</t>
  </si>
  <si>
    <t>NF010200012</t>
  </si>
  <si>
    <t>CCI Strawberry Bars (box of 16)</t>
  </si>
  <si>
    <t>CCI Wax Paper</t>
  </si>
  <si>
    <t>TS0412I048</t>
  </si>
  <si>
    <t>CCI White Kraft Paper # 12</t>
  </si>
  <si>
    <t>NF010300218</t>
  </si>
  <si>
    <t>CHEF KNIFE 8"</t>
  </si>
  <si>
    <t>DS010100011</t>
  </si>
  <si>
    <t>Chinawhite Oval Coupe Plate 10.5"x14.5"</t>
  </si>
  <si>
    <t>DS010300074</t>
  </si>
  <si>
    <t>Chinawhite Oval Coupe Plate 28 x 3.1 cm, CIP</t>
  </si>
  <si>
    <t>DS010300046</t>
  </si>
  <si>
    <t>CHINAWHITE OVAL COUPE PLATE 32.5 X 3.4 CM, CIP</t>
  </si>
  <si>
    <t>DS010300053</t>
  </si>
  <si>
    <t>Chlorine Powder</t>
  </si>
  <si>
    <t>CP1213N055</t>
  </si>
  <si>
    <t>FP040800754</t>
  </si>
  <si>
    <t>Clipboard - Long</t>
  </si>
  <si>
    <t>NF030100019</t>
  </si>
  <si>
    <t>Clipboard Menu</t>
  </si>
  <si>
    <t>CP0219N001</t>
  </si>
  <si>
    <t>Cold Cup 16 oz (plain)</t>
  </si>
  <si>
    <t>NF010300017</t>
  </si>
  <si>
    <t>Cold Cup 16 oz lid</t>
  </si>
  <si>
    <t>NF010300018</t>
  </si>
  <si>
    <t>FP010100554</t>
  </si>
  <si>
    <t>COLD DRINK PAPER CUP 12 OZ</t>
  </si>
  <si>
    <t>FP040800017</t>
  </si>
  <si>
    <t>COLD DRINK PAPER CUP 16 OZ</t>
  </si>
  <si>
    <t>FP040800007</t>
  </si>
  <si>
    <t>Collander Deep 8qt</t>
  </si>
  <si>
    <t>TEMP0122</t>
  </si>
  <si>
    <t>Cookies Container Plastic PET w/ LID, 16oz (10 slv/ box) - 50 pcs per box</t>
  </si>
  <si>
    <t>NF010300223</t>
  </si>
  <si>
    <t>Cork Board</t>
  </si>
  <si>
    <t>NF030200005</t>
  </si>
  <si>
    <t>Covered Dust Pan</t>
  </si>
  <si>
    <t>NF040200002</t>
  </si>
  <si>
    <t>Craft Speckled Blue Coupe Plate 8", Steelite</t>
  </si>
  <si>
    <t>DS010300057</t>
  </si>
  <si>
    <t>Craft Speckled Cup Blue 12oz, Steelite</t>
  </si>
  <si>
    <t>DS010400029</t>
  </si>
  <si>
    <t>Craft Speckled Cup Green 12oz, Steelite</t>
  </si>
  <si>
    <t>DS010400030</t>
  </si>
  <si>
    <t>Craft Speckled Cup White 12oz, Steelite</t>
  </si>
  <si>
    <t>DS010400031</t>
  </si>
  <si>
    <t>Craft Speckled Espresso Cup Blue 3oz, Steelite</t>
  </si>
  <si>
    <t>DS010400032</t>
  </si>
  <si>
    <t>Craft Speckled Espresso Cup Green 3oz, Steelite</t>
  </si>
  <si>
    <t>DS010400033</t>
  </si>
  <si>
    <t>Craft Speckled Green Coupe Plate 8", Steelite</t>
  </si>
  <si>
    <t>DS010300058</t>
  </si>
  <si>
    <t>Craft Speckled Saucer Blue for 12oz, Steelite</t>
  </si>
  <si>
    <t>DS010400034</t>
  </si>
  <si>
    <t>Craft Speckled Saucer Blue for 3oz, Steelite</t>
  </si>
  <si>
    <t>DS010400035</t>
  </si>
  <si>
    <t>Craft Speckled Saucer Cup White 3oz, Steelite</t>
  </si>
  <si>
    <t>DS010400038</t>
  </si>
  <si>
    <t>Craft Speckled Saucer Green for 12oz, Steelite</t>
  </si>
  <si>
    <t>DS010400036</t>
  </si>
  <si>
    <t>Craft Speckled Saucer Green for 3oz, Steelite</t>
  </si>
  <si>
    <t>DS010400037</t>
  </si>
  <si>
    <t>Craft Speckled White Coupe Plate 8", Steelite</t>
  </si>
  <si>
    <t>FD030100183</t>
  </si>
  <si>
    <t>CRAFT SPECKLED WHITE Pourer 3oz, Steelite</t>
  </si>
  <si>
    <t>DS010400039</t>
  </si>
  <si>
    <t>NF010600002</t>
  </si>
  <si>
    <t>Cream Charger (24pcs/box)</t>
  </si>
  <si>
    <t>NF010600021</t>
  </si>
  <si>
    <t>Cup - Craft Speckled Blue 8oz, Steelite</t>
  </si>
  <si>
    <t>DS010400074</t>
  </si>
  <si>
    <t>Cup - Craft Speckled Espresso White 3oz, Steelite</t>
  </si>
  <si>
    <t>DS010500044</t>
  </si>
  <si>
    <t>Cup - Craft Speckled Green 8oz, Steelite</t>
  </si>
  <si>
    <t>DS010400075</t>
  </si>
  <si>
    <t>Cup - Craft Speckled White 8oz, Steelite</t>
  </si>
  <si>
    <t>DS010400076</t>
  </si>
  <si>
    <t>Cup - Marin Cup Blue 12oz, Crate&amp; Barrel - INACTIVE</t>
  </si>
  <si>
    <t>DS010300075</t>
  </si>
  <si>
    <t>Cup - Marin Cup Gray 12oz, Crate&amp; Barrel</t>
  </si>
  <si>
    <t>DS010300377</t>
  </si>
  <si>
    <t>Cups - Kiddie cups (6pcs/pack)</t>
  </si>
  <si>
    <t>DS010400197</t>
  </si>
  <si>
    <t>Dessert Fork - NONO's</t>
  </si>
  <si>
    <t>DS010500005</t>
  </si>
  <si>
    <t>Dessert Spoon - NONO's</t>
  </si>
  <si>
    <t>DS010500008</t>
  </si>
  <si>
    <t>DIGITAL THERMOMETER</t>
  </si>
  <si>
    <t>DS010100122</t>
  </si>
  <si>
    <t>DIGITAL TIMER</t>
  </si>
  <si>
    <t>DS010100015</t>
  </si>
  <si>
    <t>Dinner Spoon, NONO's</t>
  </si>
  <si>
    <t>DS010500016</t>
  </si>
  <si>
    <t>Dish Cloth, blue</t>
  </si>
  <si>
    <t>NF040100007</t>
  </si>
  <si>
    <t>Dish Cloth, green</t>
  </si>
  <si>
    <t>NF040100008</t>
  </si>
  <si>
    <t>Dish Cloth, white</t>
  </si>
  <si>
    <t>NF040100009</t>
  </si>
  <si>
    <t>Dish Cloth, yellow</t>
  </si>
  <si>
    <t>NF040100010</t>
  </si>
  <si>
    <t>Dish Sponge w/ Net</t>
  </si>
  <si>
    <t>NF040200004</t>
  </si>
  <si>
    <t>Dish Sponge w/ Scrub Pad</t>
  </si>
  <si>
    <t>NF040200005</t>
  </si>
  <si>
    <t>Dishwashing Detergent</t>
  </si>
  <si>
    <t>NF040100011</t>
  </si>
  <si>
    <t>Dishwashing Liquid - Suma Total</t>
  </si>
  <si>
    <t>NF040100012</t>
  </si>
  <si>
    <t>Double Mesh Strainer 10"</t>
  </si>
  <si>
    <t>TS0430I046</t>
  </si>
  <si>
    <t>Ensaymada Box, CCI (100pcs/pack)</t>
  </si>
  <si>
    <t>NF010300177</t>
  </si>
  <si>
    <t>Ensaymada Container 125pcs (4packs/case)</t>
  </si>
  <si>
    <t>NF030100268</t>
  </si>
  <si>
    <t>Ensaymada Container KT</t>
  </si>
  <si>
    <t>TS0214I049</t>
  </si>
  <si>
    <t>Espresso Grouphead Cleaner 600g (14bot/case)</t>
  </si>
  <si>
    <t>NF040100097</t>
  </si>
  <si>
    <t>ESPRESSO MACHINE-FAEMA S# 1653014</t>
  </si>
  <si>
    <t>FI010100027</t>
  </si>
  <si>
    <t>Excel Rinse 4 LIT (4 gal/case)</t>
  </si>
  <si>
    <t>NF040100014</t>
  </si>
  <si>
    <t>Excel Wash 4 Lit (4 gal/case)</t>
  </si>
  <si>
    <t>NF040100015</t>
  </si>
  <si>
    <t>Expandable Folder</t>
  </si>
  <si>
    <t>NF030100028</t>
  </si>
  <si>
    <t>Face Mask</t>
  </si>
  <si>
    <t>NF040100016</t>
  </si>
  <si>
    <t>FOOD PAN 1/1, 6" POLYCARBONATE</t>
  </si>
  <si>
    <t>DS010100166</t>
  </si>
  <si>
    <t>FOOD PAN 1/1-6",SS</t>
  </si>
  <si>
    <t>DS010100193</t>
  </si>
  <si>
    <t>FOOD PAN 1/2, 6" POLYCARBONATE</t>
  </si>
  <si>
    <t>DS010100047</t>
  </si>
  <si>
    <t>FOOD PAN 1/2, 8" POLYCARBONATE</t>
  </si>
  <si>
    <t>DS010100207</t>
  </si>
  <si>
    <t>FOOD PAN 1/2-6",SS</t>
  </si>
  <si>
    <t>DS010100105</t>
  </si>
  <si>
    <t>FOOD PAN 1/4, 6" POLYCARBONATE</t>
  </si>
  <si>
    <t>DS010100048</t>
  </si>
  <si>
    <t>FOOD PAN 1/4, SS</t>
  </si>
  <si>
    <t>DS010100108</t>
  </si>
  <si>
    <t>FOOD PAN 1/9 - 2", SS</t>
  </si>
  <si>
    <t>DS010100109</t>
  </si>
  <si>
    <t>FOOD PAN 1/9 - 4", SS</t>
  </si>
  <si>
    <t>DS010100110</t>
  </si>
  <si>
    <t>FOOD PAN 1/9, 2" POLYCARBONATE</t>
  </si>
  <si>
    <t>DS010100208</t>
  </si>
  <si>
    <t>FOOD PAN 1/9,4" POLYCARBONATE</t>
  </si>
  <si>
    <t>DS010100209</t>
  </si>
  <si>
    <t>FOOD PAN 24" X 20", SS</t>
  </si>
  <si>
    <t>DS010100018</t>
  </si>
  <si>
    <t>FOOD PAN 27" X 20", SS</t>
  </si>
  <si>
    <t>DS010100019</t>
  </si>
  <si>
    <t>Food Pan Cover 1/2,SS</t>
  </si>
  <si>
    <t>TS0430I051</t>
  </si>
  <si>
    <t>FOOD PAN LID 1/1, POLYC ARBONATE</t>
  </si>
  <si>
    <t>DS010100167</t>
  </si>
  <si>
    <t>FOOD PAN LID 1/1-6" ,SS</t>
  </si>
  <si>
    <t>DS010100198</t>
  </si>
  <si>
    <t>FOOD PAN LID 1/2, POLYCARBONATE</t>
  </si>
  <si>
    <t>DS010100050</t>
  </si>
  <si>
    <t>FOOD PAN LID 1/2,SS</t>
  </si>
  <si>
    <t>DS010100184</t>
  </si>
  <si>
    <t>FOOD PAN LID 1/4, POLYCARBONATE</t>
  </si>
  <si>
    <t>DS010100051</t>
  </si>
  <si>
    <t>FOOD PAN LID 1/4, SS</t>
  </si>
  <si>
    <t>DS010100107</t>
  </si>
  <si>
    <t>Food Pan Lid 1/9, SS</t>
  </si>
  <si>
    <t>TEMP0130</t>
  </si>
  <si>
    <t>FOOD PAN LID SLOTTED 1/9, SS-VOLLRATH</t>
  </si>
  <si>
    <t>DS010100112</t>
  </si>
  <si>
    <t>FOOD PAN LID, 1/9 POLYCARBONATE</t>
  </si>
  <si>
    <t>DS010100168</t>
  </si>
  <si>
    <t>Fork - Cornstarch (100 pcs/pack)</t>
  </si>
  <si>
    <t>NF020103543</t>
  </si>
  <si>
    <t>Fork - Cornstarch (25 pcs/pack)</t>
  </si>
  <si>
    <t>NF020102808</t>
  </si>
  <si>
    <t>Fork - Plastic Black (25 pcs/pack)</t>
  </si>
  <si>
    <t>NF010200039</t>
  </si>
  <si>
    <t>FROTHING PITCHER 12OZ, SS</t>
  </si>
  <si>
    <t>DS010500086</t>
  </si>
  <si>
    <t>FROTHING PITCHER 20OZ, SS</t>
  </si>
  <si>
    <t>DS010500087</t>
  </si>
  <si>
    <t>FRY PAN - MINI 5.5"</t>
  </si>
  <si>
    <t>DS010100037</t>
  </si>
  <si>
    <t>FRY PAN 10"</t>
  </si>
  <si>
    <t>DS010100022</t>
  </si>
  <si>
    <t>FRY PAN 8"</t>
  </si>
  <si>
    <t>DS010100025</t>
  </si>
  <si>
    <t>FRY PAN POWERCOAT 10"</t>
  </si>
  <si>
    <t>DS010100020</t>
  </si>
  <si>
    <t>FRY PAN POWERCOAT 8"</t>
  </si>
  <si>
    <t>DS010100021</t>
  </si>
  <si>
    <t>Garbage Bag -small</t>
  </si>
  <si>
    <t>NF040100017</t>
  </si>
  <si>
    <t>Garbage Bags</t>
  </si>
  <si>
    <t>NF040100018</t>
  </si>
  <si>
    <t>Glass Panel Squeegee</t>
  </si>
  <si>
    <t>FP040800730</t>
  </si>
  <si>
    <t>Glassware - Beer Glass 14oz, Libbey</t>
  </si>
  <si>
    <t>DS010400018</t>
  </si>
  <si>
    <t>GLASSWARE - CAPPUCCINO CUP MATT BLACK 350ML, CBTL</t>
  </si>
  <si>
    <t>NF020200023</t>
  </si>
  <si>
    <t>Glassware - Ceramic Mug 13 oz - White, CBTL</t>
  </si>
  <si>
    <t>FP040800806</t>
  </si>
  <si>
    <t>Glassware - Ceramic Mug 17 oz - White, CBTL</t>
  </si>
  <si>
    <t>FP040800807</t>
  </si>
  <si>
    <t>Glassware - Ceramic Mug 9 oz - White, CBTL</t>
  </si>
  <si>
    <t>FP040800805</t>
  </si>
  <si>
    <t>GLASSWARE - CERAMIC MUG WHITE,340ML</t>
  </si>
  <si>
    <t>DS010400195</t>
  </si>
  <si>
    <t>GLASSWARE - DOUBLE WALL GLASS 8OZ</t>
  </si>
  <si>
    <t>DS010400096</t>
  </si>
  <si>
    <t>Glassware - Espresso Cup 100ml, CBTL</t>
  </si>
  <si>
    <t>DS010300011</t>
  </si>
  <si>
    <t>Glassware - Nitro Brew 11oz (6pcs/box)</t>
  </si>
  <si>
    <t>DS010400013</t>
  </si>
  <si>
    <t>Glassware - Red Wine Glass</t>
  </si>
  <si>
    <t>DS010500030</t>
  </si>
  <si>
    <t>GLASSWARE- LIBBEY GIBRALTAR GLASS 5.5OZ, NONO'S</t>
  </si>
  <si>
    <t>DS010400230</t>
  </si>
  <si>
    <t>Greaseproof Liner Plain 18"x24 (1,000pcs/ream)</t>
  </si>
  <si>
    <t>NF010300118</t>
  </si>
  <si>
    <t>Hair Net, Disposable</t>
  </si>
  <si>
    <t>NF040100020</t>
  </si>
  <si>
    <t>HAMILTON BEACH BLENDER HBH 750-CE 32 OZ S# B2691L00032</t>
  </si>
  <si>
    <t>FI040700129</t>
  </si>
  <si>
    <t>HAMILTON BEACH CONTAINER FOR ECLIPSE 32 OZ</t>
  </si>
  <si>
    <t>FI040700130</t>
  </si>
  <si>
    <t>Hand Sanitizer</t>
  </si>
  <si>
    <t>NF040100025</t>
  </si>
  <si>
    <t>Hand Soap</t>
  </si>
  <si>
    <t>NF020102976</t>
  </si>
  <si>
    <t>ICE BIN S#J17552J</t>
  </si>
  <si>
    <t>FI010200039</t>
  </si>
  <si>
    <t>ICE CREAM SCOOPER</t>
  </si>
  <si>
    <t>DS010100031</t>
  </si>
  <si>
    <t>ICE MACHINE-NUGGET S# J01120F</t>
  </si>
  <si>
    <t>FI010200038</t>
  </si>
  <si>
    <t>ICE SCOOPER</t>
  </si>
  <si>
    <t>DS010100032</t>
  </si>
  <si>
    <t>INDIVIDUALLY WRAP STRAW - PURPLE</t>
  </si>
  <si>
    <t>199A2B</t>
  </si>
  <si>
    <t>Ingredients Bins &amp; Camcrisper</t>
  </si>
  <si>
    <t>TS0430I058</t>
  </si>
  <si>
    <t>Interfolded Hand Towel (150sh/30 packs)</t>
  </si>
  <si>
    <t>NF010300067</t>
  </si>
  <si>
    <t>Jute Bag (Large)</t>
  </si>
  <si>
    <t>NON03030034</t>
  </si>
  <si>
    <t>Jute Bag (Medium)</t>
  </si>
  <si>
    <t>NON03030033</t>
  </si>
  <si>
    <t>KITCHEN PRINTER</t>
  </si>
  <si>
    <t>FI040200015</t>
  </si>
  <si>
    <t>KNIFE - BONING KNIFE 6"</t>
  </si>
  <si>
    <t>DS010100001</t>
  </si>
  <si>
    <t>KNIFE - BREAD KNIFE 12, DEXTER</t>
  </si>
  <si>
    <t>DS010500075</t>
  </si>
  <si>
    <t>KNIFE - BUTCHER'S KNIFE 8"</t>
  </si>
  <si>
    <t>DS010100104</t>
  </si>
  <si>
    <t>KNIFE - CHEF'S KNIFE 10"</t>
  </si>
  <si>
    <t>DS010100006</t>
  </si>
  <si>
    <t>KNIFE - CHEF'S KNIFE 8" (GENERIC)</t>
  </si>
  <si>
    <t>DS010100083</t>
  </si>
  <si>
    <t>Knife - Cornstarch (25 pcs/pack)</t>
  </si>
  <si>
    <t>NF020102809</t>
  </si>
  <si>
    <t>KNIFE - DINNER , NONO'S</t>
  </si>
  <si>
    <t>DS010500012</t>
  </si>
  <si>
    <t>KNIFE - PLASTIC BLACK (50PCS/PACK)</t>
  </si>
  <si>
    <t>NF010200042</t>
  </si>
  <si>
    <t>LADDLE 0.5OZ, SS</t>
  </si>
  <si>
    <t>DS010100149</t>
  </si>
  <si>
    <t>LADDLE 1OZ , 14CM SS</t>
  </si>
  <si>
    <t>DS010100247</t>
  </si>
  <si>
    <t>LADDLE 1OZ, SS</t>
  </si>
  <si>
    <t>DS010100144</t>
  </si>
  <si>
    <t>LAPTOP I5/4GB RAM/1TB HDD/14" (GENERIC)</t>
  </si>
  <si>
    <t>FI040200060</t>
  </si>
  <si>
    <t>LASAGNA DISH 24X13X3.9CM, LUZERNE</t>
  </si>
  <si>
    <t>DS010300018</t>
  </si>
  <si>
    <t>LID - Cold Drink Flat Lid 12/16 oz (50pcs/slv)</t>
  </si>
  <si>
    <t>FP040800008</t>
  </si>
  <si>
    <t>LID - Hot Drink Cup 8 oz, CBTL, 50pcs</t>
  </si>
  <si>
    <t>NF010300072</t>
  </si>
  <si>
    <t>DS010300067</t>
  </si>
  <si>
    <t>LID - Strawless Cold Drink 12/16 oz (100pcs/slv)</t>
  </si>
  <si>
    <t>NF010101882</t>
  </si>
  <si>
    <t>LID - Strawless Cold Drink 12/16oz</t>
  </si>
  <si>
    <t>897A2A</t>
  </si>
  <si>
    <t>Liquid Paper</t>
  </si>
  <si>
    <t>NF030100044</t>
  </si>
  <si>
    <t>Loaf Plastic (66+ 4 X 18)</t>
  </si>
  <si>
    <t>TS0412I271</t>
  </si>
  <si>
    <t>Logbook</t>
  </si>
  <si>
    <t>NF030100045</t>
  </si>
  <si>
    <t>Magic Clip</t>
  </si>
  <si>
    <t>CP0215N100</t>
  </si>
  <si>
    <t>Marker - Sharpie</t>
  </si>
  <si>
    <t>NF030100049</t>
  </si>
  <si>
    <t>Marker - White Board</t>
  </si>
  <si>
    <t>NF030100050</t>
  </si>
  <si>
    <t>MEASURING CUP 1PT, POLYCARBONATE</t>
  </si>
  <si>
    <t>DS010100123</t>
  </si>
  <si>
    <t>MEASURING CUP 1QT, POLYCARBONATE</t>
  </si>
  <si>
    <t>DS010100124</t>
  </si>
  <si>
    <t>MEASURING CUP 2QT, POLYCARBONATE</t>
  </si>
  <si>
    <t>DS010100125</t>
  </si>
  <si>
    <t>MEASURING CUP 8OZ, PLASTIC</t>
  </si>
  <si>
    <t>DS010200010</t>
  </si>
  <si>
    <t>MEASURING CUP SET, SS</t>
  </si>
  <si>
    <t>DS010500089</t>
  </si>
  <si>
    <t>MEASURING SPOON SET</t>
  </si>
  <si>
    <t>DS010200012</t>
  </si>
  <si>
    <t>Microplane graters</t>
  </si>
  <si>
    <t>DS010100201</t>
  </si>
  <si>
    <t>Microplane graters - spice</t>
  </si>
  <si>
    <t>TS0430I064</t>
  </si>
  <si>
    <t>MICROWAVE OVEN, GE</t>
  </si>
  <si>
    <t>FI010800011</t>
  </si>
  <si>
    <t>MINI FRY PAN 13.5 X 21 X 21.5CM, PUJADAS</t>
  </si>
  <si>
    <t>DS010100076</t>
  </si>
  <si>
    <t>MIXING BOWL 14CM, SS</t>
  </si>
  <si>
    <t>DS010100039</t>
  </si>
  <si>
    <t>MIXING BOWL 18CM, SS</t>
  </si>
  <si>
    <t>DS010100038</t>
  </si>
  <si>
    <t>MIXING BOWL 24CM, SS</t>
  </si>
  <si>
    <t>DS010100040</t>
  </si>
  <si>
    <t>MIXING BOWL 28CM, SS</t>
  </si>
  <si>
    <t>DS010100041</t>
  </si>
  <si>
    <t>Mop Bucket/Wringer Combo- Brown</t>
  </si>
  <si>
    <t>CP1216I029</t>
  </si>
  <si>
    <t>Mop Handle - blue</t>
  </si>
  <si>
    <t>CP1216I030</t>
  </si>
  <si>
    <t>Mop Handle - green</t>
  </si>
  <si>
    <t>NF040200009</t>
  </si>
  <si>
    <t>Mop Handle - Red</t>
  </si>
  <si>
    <t>CP1216I032</t>
  </si>
  <si>
    <t>Mop Handle - Silver</t>
  </si>
  <si>
    <t>CP1216I033</t>
  </si>
  <si>
    <t>Mop Head - blue</t>
  </si>
  <si>
    <t>NF040200029</t>
  </si>
  <si>
    <t>Mop Head - green</t>
  </si>
  <si>
    <t>NF040200028</t>
  </si>
  <si>
    <t>Mop Head - red</t>
  </si>
  <si>
    <t>NF040200030</t>
  </si>
  <si>
    <t>Mop Head - White</t>
  </si>
  <si>
    <t>Muffin Cup 3oz - Blue</t>
  </si>
  <si>
    <t>TS0412I240</t>
  </si>
  <si>
    <t>Sleeve</t>
  </si>
  <si>
    <t>Nono's - Demitasse Spoon</t>
  </si>
  <si>
    <t>DS010500002</t>
  </si>
  <si>
    <t>Nono's - Dinner Fork</t>
  </si>
  <si>
    <t>DS010300153</t>
  </si>
  <si>
    <t>Nono's - Paper Bag, Large</t>
  </si>
  <si>
    <t>NF010300560</t>
  </si>
  <si>
    <t>Bundle</t>
  </si>
  <si>
    <t>Nono's - Paper Bag, Small</t>
  </si>
  <si>
    <t>NF010300175</t>
  </si>
  <si>
    <t>Nono's Coaster</t>
  </si>
  <si>
    <t>NF010300014</t>
  </si>
  <si>
    <t>NONO'S Coaster, Square 3.5"</t>
  </si>
  <si>
    <t>NF010300174</t>
  </si>
  <si>
    <t>Nono's Drawstring Bag</t>
  </si>
  <si>
    <t>NON03040001</t>
  </si>
  <si>
    <t>Nono's Generic Sticker</t>
  </si>
  <si>
    <t>NF010300137</t>
  </si>
  <si>
    <t>Nono's Parchment Paper</t>
  </si>
  <si>
    <t>NF010300040</t>
  </si>
  <si>
    <t>Ream</t>
  </si>
  <si>
    <t>Nono's Sauce cup w/ Lid</t>
  </si>
  <si>
    <t>NF010200056</t>
  </si>
  <si>
    <t>Nono's Soup Bowl 390 ml</t>
  </si>
  <si>
    <t>DS010300033</t>
  </si>
  <si>
    <t>Nono's Soup Bowl Lid</t>
  </si>
  <si>
    <t>DS010300034</t>
  </si>
  <si>
    <t>Nono's- St. Tropez 450 Hurricane Glass</t>
  </si>
  <si>
    <t>DS010400020</t>
  </si>
  <si>
    <t>Nono's Steak Knife, CIP</t>
  </si>
  <si>
    <t>DS010500021</t>
  </si>
  <si>
    <t>Nono's Table Napkin</t>
  </si>
  <si>
    <t>NF010300053</t>
  </si>
  <si>
    <t>Nono's Take-away Box, Large</t>
  </si>
  <si>
    <t>NF010300054</t>
  </si>
  <si>
    <t>Nono's Take-away Box, Small</t>
  </si>
  <si>
    <t>NF010300055</t>
  </si>
  <si>
    <t>Nono's Tray-4 Cup Carry</t>
  </si>
  <si>
    <t>NF010300061</t>
  </si>
  <si>
    <t>OFFSET SPATULA 4"</t>
  </si>
  <si>
    <t>DS010200015</t>
  </si>
  <si>
    <t>Offset Spatula 4.25</t>
  </si>
  <si>
    <t>TS0412N008</t>
  </si>
  <si>
    <t>OFFSET SPATULA 7"</t>
  </si>
  <si>
    <t>DS010200016</t>
  </si>
  <si>
    <t>OIL - FILTER ENVELOPE 7.5" X 14"</t>
  </si>
  <si>
    <t>NF010300116</t>
  </si>
  <si>
    <t>NF010300117</t>
  </si>
  <si>
    <t>Olive Oil Dispenser</t>
  </si>
  <si>
    <t>DS010100202</t>
  </si>
  <si>
    <t>OVEN - DECK, ROLLER GRILL PZ4302 D</t>
  </si>
  <si>
    <t>FI010100050</t>
  </si>
  <si>
    <t>Pan spray, 500ml</t>
  </si>
  <si>
    <t>FD070200009</t>
  </si>
  <si>
    <t>Paper Cup - Hot Drink 8oz, Plain 50pcs (20slv/case</t>
  </si>
  <si>
    <t>NF010300493</t>
  </si>
  <si>
    <t>Paper Cup - Rippled 12oz, NONO's</t>
  </si>
  <si>
    <t>NF020103518</t>
  </si>
  <si>
    <t>PAPER CUP - RIPPLED 9OZ, CCI (20PCS/SLV)</t>
  </si>
  <si>
    <t>NF010300187</t>
  </si>
  <si>
    <t>Paper Cup - Rippled 9oz, Plain (25pcs/slv)</t>
  </si>
  <si>
    <t>NF010300521</t>
  </si>
  <si>
    <t>Paper Straw Big, White (50pcs/pack)</t>
  </si>
  <si>
    <t>NF010300138</t>
  </si>
  <si>
    <t>Paper Straw, White</t>
  </si>
  <si>
    <t>NF010300082</t>
  </si>
  <si>
    <t>PASTRIES BOX 10.5"X7.5"X2" (100PCS/PACK)</t>
  </si>
  <si>
    <t>NF010300297</t>
  </si>
  <si>
    <t>PASTRIES BOX 14.5"X11"X2" (100PCS/PACK)</t>
  </si>
  <si>
    <t>NF010300298</t>
  </si>
  <si>
    <t>NF010300530</t>
  </si>
  <si>
    <t>PEELER</t>
  </si>
  <si>
    <t>DS010100045</t>
  </si>
  <si>
    <t>PEPPER MILL 12", KAPP</t>
  </si>
  <si>
    <t>DS010100203</t>
  </si>
  <si>
    <t>Petty Cash Voucher</t>
  </si>
  <si>
    <t>NF030100058</t>
  </si>
  <si>
    <t>PAD</t>
  </si>
  <si>
    <t>PIE SERVER &amp; SCRAPER</t>
  </si>
  <si>
    <t>DS010100046</t>
  </si>
  <si>
    <t>Pizza Box 14"</t>
  </si>
  <si>
    <t>NF020200274</t>
  </si>
  <si>
    <t>PIZZA SLICER 4", SS</t>
  </si>
  <si>
    <t>FP040500052</t>
  </si>
  <si>
    <t>Plastic (9X14)</t>
  </si>
  <si>
    <t>NF010200029</t>
  </si>
  <si>
    <t>Plastic 7" x 12" (1000pcs/pack)</t>
  </si>
  <si>
    <t>NF010200138</t>
  </si>
  <si>
    <t>Plastic 9" X 14" (500pcs/pack)</t>
  </si>
  <si>
    <t>NF010300149</t>
  </si>
  <si>
    <t>Plastic Container - 1000ml</t>
  </si>
  <si>
    <t>NF010200032</t>
  </si>
  <si>
    <t>Plastic Container 500 ml</t>
  </si>
  <si>
    <t>NF010200033</t>
  </si>
  <si>
    <t>Plastic Cup 16oz (for Juices)</t>
  </si>
  <si>
    <t>NF010200036</t>
  </si>
  <si>
    <t>Plastic Fork</t>
  </si>
  <si>
    <t>CP1212I013</t>
  </si>
  <si>
    <t>Plastic Glass Cup Flat Lid 16oz</t>
  </si>
  <si>
    <t>CP1114I043</t>
  </si>
  <si>
    <t>Plastic Knife</t>
  </si>
  <si>
    <t>CP1212I015</t>
  </si>
  <si>
    <t>Plastic Spoon</t>
  </si>
  <si>
    <t>NF010200051</t>
  </si>
  <si>
    <t>PLATE - CRAFT SPECKLED BLUE COUPE 8", STEELITE</t>
  </si>
  <si>
    <t>DS010300008</t>
  </si>
  <si>
    <t>PLATE - FLAT PLATTER 12" X 7.5"</t>
  </si>
  <si>
    <t>DS010300015</t>
  </si>
  <si>
    <t>PLATE - FLAT PLATTER 14" X 10"</t>
  </si>
  <si>
    <t>DS010300016</t>
  </si>
  <si>
    <t>Plate - Pasta Plate Blue, Crate &amp; Barrel</t>
  </si>
  <si>
    <t>DS010300151</t>
  </si>
  <si>
    <t>Plate - Pasta Plate Gray, Crate &amp; Barrel</t>
  </si>
  <si>
    <t>DS010300152</t>
  </si>
  <si>
    <t>Plate - Split Plate Blue, Crate &amp; Barrel</t>
  </si>
  <si>
    <t>DS010300079</t>
  </si>
  <si>
    <t>Plate - Split Plate Gray, Crate &amp; Barrel</t>
  </si>
  <si>
    <t>DS010300080</t>
  </si>
  <si>
    <t>Plate - Split Plate Green, Crate &amp; Barrel</t>
  </si>
  <si>
    <t>Plate - Split Plate White, Crate &amp; Barrel</t>
  </si>
  <si>
    <t>PLATE - WOODEN 11"</t>
  </si>
  <si>
    <t>DS010300159</t>
  </si>
  <si>
    <t>PLATE - WOODEN 14"</t>
  </si>
  <si>
    <t>DS010300457</t>
  </si>
  <si>
    <t>PLATE - WOODEN RECEIPT TRAY 8X4</t>
  </si>
  <si>
    <t>DS010300141</t>
  </si>
  <si>
    <t>PLATTER WITH LID GLASS</t>
  </si>
  <si>
    <t>DS010300043</t>
  </si>
  <si>
    <t>POLYCARBONATE CAKE PLATTER W/ LID</t>
  </si>
  <si>
    <t>DS010300078</t>
  </si>
  <si>
    <t>Pos Journal Paper 3 Ply (50rolls/case) - NEC</t>
  </si>
  <si>
    <t>NF030100037</t>
  </si>
  <si>
    <t>Pos Thermal Paper 80 x 70mm (50rolls/case)</t>
  </si>
  <si>
    <t>NF010101820</t>
  </si>
  <si>
    <t>Pushbrush</t>
  </si>
  <si>
    <t>CP1216I039</t>
  </si>
  <si>
    <t>Ramekin Dish</t>
  </si>
  <si>
    <t>DS010300023</t>
  </si>
  <si>
    <t>RAMEKIN DISH (COLESLAW), GOURDO'S FLARED</t>
  </si>
  <si>
    <t>DS010300139</t>
  </si>
  <si>
    <t>RAMEKIN DISH (GRAVY DISH)</t>
  </si>
  <si>
    <t>DS010300115</t>
  </si>
  <si>
    <t>Ramekin Dish White 4.62 x 1.90"</t>
  </si>
  <si>
    <t>DS010300066</t>
  </si>
  <si>
    <t>Retail Coffee Stand-out Pouch 250g</t>
  </si>
  <si>
    <t>NF010300162</t>
  </si>
  <si>
    <t>Ribbon 1" gray</t>
  </si>
  <si>
    <t>NF010500001</t>
  </si>
  <si>
    <t>Rinse Aid, Suma Rinse 20 Lit/pail</t>
  </si>
  <si>
    <t>NF020102980</t>
  </si>
  <si>
    <t>pail</t>
  </si>
  <si>
    <t>Round Sauce Cup (50pcs/slv)</t>
  </si>
  <si>
    <t>NF010200065</t>
  </si>
  <si>
    <t>ROUND SAUCE DISH, SS</t>
  </si>
  <si>
    <t>NF010200060</t>
  </si>
  <si>
    <t>Round Sauce Lid (100pcs/slv)</t>
  </si>
  <si>
    <t>NF010200064</t>
  </si>
  <si>
    <t>SAUCER - CAPPUCCINO MATT BLACK, CBTL</t>
  </si>
  <si>
    <t>NF020200024</t>
  </si>
  <si>
    <t>Saucer - Craft Speckled White for 12oz, Steelite</t>
  </si>
  <si>
    <t>DS010400090</t>
  </si>
  <si>
    <t>SAUCIER PAN 2.75QT</t>
  </si>
  <si>
    <t>DS010100055</t>
  </si>
  <si>
    <t>SAUCIER PAN 4.5QT</t>
  </si>
  <si>
    <t>DS010100056</t>
  </si>
  <si>
    <t>SAUCIER PAN 7QT</t>
  </si>
  <si>
    <t>DS010100057</t>
  </si>
  <si>
    <t>SAVORY GIFT BAG</t>
  </si>
  <si>
    <t>NF040200225</t>
  </si>
  <si>
    <t>Seal Tape- Cold Drink Cup Lid (26mm X 55mm)</t>
  </si>
  <si>
    <t>NF020103134</t>
  </si>
  <si>
    <t>Seal Tape- Hot Drink Cup Lid (19mm X 55mm)</t>
  </si>
  <si>
    <t>NF020103133</t>
  </si>
  <si>
    <t>SERRATED KNIFE 8", MASFLEX</t>
  </si>
  <si>
    <t>DS010100120</t>
  </si>
  <si>
    <t>Shaker - Gourmet (Glass w/ Stainless Lid)</t>
  </si>
  <si>
    <t>DS010100058</t>
  </si>
  <si>
    <t>Shaker - Salt &amp; Pepper</t>
  </si>
  <si>
    <t>DS010100211</t>
  </si>
  <si>
    <t>SHAKER 10OZ, SS</t>
  </si>
  <si>
    <t>DS010500093</t>
  </si>
  <si>
    <t>SHAKER 12OZ</t>
  </si>
  <si>
    <t>DS010100135</t>
  </si>
  <si>
    <t>Shot Glass 2oz (12pcs/case)</t>
  </si>
  <si>
    <t>DS010400008</t>
  </si>
  <si>
    <t>SLEEVE - PARTY PLATTER, NONO'S (100PCS/BUNDLE)</t>
  </si>
  <si>
    <t>NF010300275</t>
  </si>
  <si>
    <t>Snow Flakes, CCI (100pcs/pack)</t>
  </si>
  <si>
    <t>FD050100132</t>
  </si>
  <si>
    <t>SOUP BOWL - NEW BONE (15 X 14.5 X 6.9 CM)</t>
  </si>
  <si>
    <t>DS010300030</t>
  </si>
  <si>
    <t>SOUP BOWL - NEW BONE (18.5 X 17 X 8.1 CM)</t>
  </si>
  <si>
    <t>DS010300031</t>
  </si>
  <si>
    <t>SOUP BOWL - ONION SOUP BOWL 310ML</t>
  </si>
  <si>
    <t>DS010300077</t>
  </si>
  <si>
    <t>Spiral Candle 3.5" ( 12Pcs / Box)</t>
  </si>
  <si>
    <t>NF020200004</t>
  </si>
  <si>
    <t>Spiral Candle 4" ( 10Pcs / Box)</t>
  </si>
  <si>
    <t>NF020200005</t>
  </si>
  <si>
    <t>SPOON - BAR SPOON</t>
  </si>
  <si>
    <t>DS010500001</t>
  </si>
  <si>
    <t>Spoon - Cornstarch (100 pcs/pack)</t>
  </si>
  <si>
    <t>NF020103542</t>
  </si>
  <si>
    <t>Spoon - Cornstarch (25 pcs/pack)</t>
  </si>
  <si>
    <t>NF020102807</t>
  </si>
  <si>
    <t>SPOON - GOURMENT</t>
  </si>
  <si>
    <t>DS010500017</t>
  </si>
  <si>
    <t>SPOON - SLOTTED 13", SS</t>
  </si>
  <si>
    <t>DS010500018</t>
  </si>
  <si>
    <t>SPOON - SOUP SPOON , NONO'S</t>
  </si>
  <si>
    <t>DS010100169</t>
  </si>
  <si>
    <t>Spoon - Soup, 26th St.</t>
  </si>
  <si>
    <t>DS010500019</t>
  </si>
  <si>
    <t>SPOON - STEAMING (GENERIC)</t>
  </si>
  <si>
    <t>DS010100088</t>
  </si>
  <si>
    <t>SQUEEZE BOTTLE - SMALL</t>
  </si>
  <si>
    <t>WH010100146</t>
  </si>
  <si>
    <t>SQUEEZE BOTTLES 24OZ</t>
  </si>
  <si>
    <t>NF010400003</t>
  </si>
  <si>
    <t>Standard Broom 2</t>
  </si>
  <si>
    <t>CP1216I050</t>
  </si>
  <si>
    <t>Stand-up Pouch White Matte 250g (100pcs/pack)</t>
  </si>
  <si>
    <t>NF020102023</t>
  </si>
  <si>
    <t>Steaming Milk Pitchers (32oz)</t>
  </si>
  <si>
    <t>FP040800872</t>
  </si>
  <si>
    <t>STICKER - Always made fresh (100pcs/pa</t>
  </si>
  <si>
    <t>NF020103453</t>
  </si>
  <si>
    <t>Sticker - Best Enjoyed Warm</t>
  </si>
  <si>
    <t>NF020103454</t>
  </si>
  <si>
    <t>STICKER - Comfort in every bite (100pcs/</t>
  </si>
  <si>
    <t>NF020103455</t>
  </si>
  <si>
    <t>STICKER - Treat yourself (100pcs/pack)</t>
  </si>
  <si>
    <t>NF020103456</t>
  </si>
  <si>
    <t>Straw Dispenser</t>
  </si>
  <si>
    <t>FP040800883</t>
  </si>
  <si>
    <t>Straw, Individually Wrapped (Imported)</t>
  </si>
  <si>
    <t>NF010200067</t>
  </si>
  <si>
    <t>String Pouch Holiday  10x12"</t>
  </si>
  <si>
    <t>NF020101847</t>
  </si>
  <si>
    <t>Suma Pan Clean</t>
  </si>
  <si>
    <t>CP1216I070</t>
  </si>
  <si>
    <t>SWEET GIFT BAG</t>
  </si>
  <si>
    <t>NF040200224</t>
  </si>
  <si>
    <t>Take-Out Box Plain, CBTL</t>
  </si>
  <si>
    <t>NF010300126</t>
  </si>
  <si>
    <t>Tape - Clear</t>
  </si>
  <si>
    <t>NF030100262</t>
  </si>
  <si>
    <t>Tape - Masking</t>
  </si>
  <si>
    <t>NF030100080</t>
  </si>
  <si>
    <t>Tape Dispenser</t>
  </si>
  <si>
    <t>NF030200021</t>
  </si>
  <si>
    <t>Tea Light Candle (50pcs/pack)</t>
  </si>
  <si>
    <t>NF040100005</t>
  </si>
  <si>
    <t>Tin Can 250g</t>
  </si>
  <si>
    <t>NF010400004</t>
  </si>
  <si>
    <t>Tin Can Label 250g, CCI (100 pcs/ bundle)</t>
  </si>
  <si>
    <t>NF010300190</t>
  </si>
  <si>
    <t>Tip Box</t>
  </si>
  <si>
    <t>CP0220N980</t>
  </si>
  <si>
    <t>Tissue - Cocktail Napkin, CBTL (50 packs/case)</t>
  </si>
  <si>
    <t>NF010300015</t>
  </si>
  <si>
    <t>Tissue - Cocktail Napkin, NONO'S (50 packs/case)</t>
  </si>
  <si>
    <t>NF010300599</t>
  </si>
  <si>
    <t>Tissue - Cocktail Napkin, NONO'S (50 packs/case) - INACTIVE</t>
  </si>
  <si>
    <t>NF010300016</t>
  </si>
  <si>
    <t>Tissue - Cocktail Napkin, Plain (50 packs/case)</t>
  </si>
  <si>
    <t>NF010300492</t>
  </si>
  <si>
    <t>Tissue - Jumbo Roll (12rolls/case)</t>
  </si>
  <si>
    <t>NF040100024</t>
  </si>
  <si>
    <t>Tissue-Bathroom(48 rolls/case)</t>
  </si>
  <si>
    <t>NF010300191</t>
  </si>
  <si>
    <t>TONG 16'', SS</t>
  </si>
  <si>
    <t>DS010100063</t>
  </si>
  <si>
    <t>TOOTHPICK INDIVIDUALLY WRAPPED</t>
  </si>
  <si>
    <t>NF010300057</t>
  </si>
  <si>
    <t>Trash Bin - Slim Jim Cover</t>
  </si>
  <si>
    <t>CP1216I069</t>
  </si>
  <si>
    <t>Trash Bin- Slim Jim</t>
  </si>
  <si>
    <t>CP1216I058</t>
  </si>
  <si>
    <t>Tray-2-Cup Carry, Plain (100 pcs/pack)</t>
  </si>
  <si>
    <t>NF020108513</t>
  </si>
  <si>
    <t>TURNERS 14" , SS</t>
  </si>
  <si>
    <t>DS010500094</t>
  </si>
  <si>
    <t>TURNERS 14" PERFORATED BLADE</t>
  </si>
  <si>
    <t>DS010100069</t>
  </si>
  <si>
    <t>Waste Basket</t>
  </si>
  <si>
    <t>CP1216I071</t>
  </si>
  <si>
    <t>Waste Basket Lid</t>
  </si>
  <si>
    <t>CP1216I072</t>
  </si>
  <si>
    <t>Water Glass 9.5oz, Borgonovo San Marco</t>
  </si>
  <si>
    <t>DS010400010</t>
  </si>
  <si>
    <t>WHIP DISPENSER - NOZZLE TULIP</t>
  </si>
  <si>
    <t>FP040800846</t>
  </si>
  <si>
    <t>WHIP DISPENSER 1 LITER</t>
  </si>
  <si>
    <t>DS010100070</t>
  </si>
  <si>
    <t>WHIP DISPENSER 1/2 LITER</t>
  </si>
  <si>
    <t>DS010100071</t>
  </si>
  <si>
    <t>WINE BOTTLE AEROTOR</t>
  </si>
  <si>
    <t>DS010100172</t>
  </si>
  <si>
    <t>WINE BOTTLE OPENER</t>
  </si>
  <si>
    <t>DS010100185</t>
  </si>
  <si>
    <t>WINE BUCKET, OVAL</t>
  </si>
  <si>
    <t>DS010100180</t>
  </si>
  <si>
    <t>WINE COOLER</t>
  </si>
  <si>
    <t>DS010100171</t>
  </si>
  <si>
    <t>WINE STOPPER</t>
  </si>
  <si>
    <t>DS010100186</t>
  </si>
  <si>
    <t>WIRE WHISK FRENCH 24</t>
  </si>
  <si>
    <t>DS010200027</t>
  </si>
  <si>
    <t>WIRE WHISK, SMALL</t>
  </si>
  <si>
    <t>DS010200028</t>
  </si>
  <si>
    <t>Wooden Crates-Large</t>
  </si>
  <si>
    <t>TS0452N107</t>
  </si>
  <si>
    <t>WOODEN STIRRER (1,000PCS/BOX)</t>
  </si>
  <si>
    <t>NF010700002</t>
  </si>
  <si>
    <t>Yulo Bowl (Crate and Barrel)</t>
  </si>
  <si>
    <t>TEMP0167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</si>
</sst>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(* #,##0.00_);_(* \(#,##0.00\);_(* &quot;-&quot;??_);_(@_)"/>
  </numFmts>
  <fonts count="11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theme="0"/>
      <name val="Calibri"/>
    </font>
    <font>
      <b/>
      <sz val="10.0"/>
      <color rgb="FFFF0000"/>
      <name val="Calibri"/>
    </font>
    <font>
      <color theme="1"/>
      <name val="Calibri"/>
      <scheme val="minor"/>
    </font>
    <font>
      <sz val="10.0"/>
      <color rgb="FF222222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rgb="FF0C343D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76923C"/>
        <bgColor rgb="FF76923C"/>
      </patternFill>
    </fill>
    <fill>
      <patternFill patternType="solid">
        <fgColor rgb="FFD99594"/>
        <bgColor rgb="FFD99594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164" xfId="0" applyAlignment="1" applyFont="1" applyNumberFormat="1">
      <alignment horizontal="center"/>
    </xf>
    <xf quotePrefix="1" borderId="0" fillId="0" fontId="1" numFmtId="17" xfId="0" applyAlignment="1" applyFont="1" applyNumberFormat="1">
      <alignment horizontal="left"/>
    </xf>
    <xf borderId="0" fillId="0" fontId="2" numFmtId="3" xfId="0" applyAlignment="1" applyFont="1" applyNumberFormat="1">
      <alignment horizontal="left"/>
    </xf>
    <xf borderId="0" fillId="0" fontId="2" numFmtId="3" xfId="0" applyFont="1" applyNumberFormat="1"/>
    <xf borderId="0" fillId="0" fontId="1" numFmtId="17" xfId="0" applyAlignment="1" applyFont="1" applyNumberFormat="1">
      <alignment horizontal="left"/>
    </xf>
    <xf borderId="0" fillId="0" fontId="2" numFmtId="165" xfId="0" applyAlignment="1" applyFont="1" applyNumberFormat="1">
      <alignment horizontal="center"/>
    </xf>
    <xf borderId="1" fillId="2" fontId="3" numFmtId="165" xfId="0" applyAlignment="1" applyBorder="1" applyFill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3" fontId="1" numFmtId="164" xfId="0" applyAlignment="1" applyBorder="1" applyFill="1" applyFont="1" applyNumberFormat="1">
      <alignment horizontal="center"/>
    </xf>
    <xf borderId="0" fillId="0" fontId="4" numFmtId="0" xfId="0" applyFont="1"/>
    <xf borderId="0" fillId="0" fontId="2" numFmtId="164" xfId="0" applyFont="1" applyNumberFormat="1"/>
    <xf borderId="0" fillId="0" fontId="5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horizontal="left"/>
    </xf>
    <xf borderId="0" fillId="0" fontId="6" numFmtId="0" xfId="0" applyFont="1"/>
    <xf borderId="0" fillId="0" fontId="7" numFmtId="0" xfId="0" applyFont="1"/>
    <xf borderId="0" fillId="0" fontId="2" numFmtId="49" xfId="0" applyFont="1" applyNumberFormat="1"/>
    <xf borderId="1" fillId="4" fontId="2" numFmtId="165" xfId="0" applyBorder="1" applyFill="1" applyFont="1" applyNumberFormat="1"/>
    <xf borderId="1" fillId="4" fontId="2" numFmtId="0" xfId="0" applyAlignment="1" applyBorder="1" applyFont="1">
      <alignment horizontal="left"/>
    </xf>
    <xf borderId="1" fillId="5" fontId="2" numFmtId="165" xfId="0" applyBorder="1" applyFill="1" applyFont="1" applyNumberFormat="1"/>
    <xf borderId="1" fillId="5" fontId="2" numFmtId="165" xfId="0" applyAlignment="1" applyBorder="1" applyFont="1" applyNumberFormat="1">
      <alignment horizontal="left"/>
    </xf>
    <xf borderId="1" fillId="5" fontId="2" numFmtId="164" xfId="0" applyBorder="1" applyFont="1" applyNumberFormat="1"/>
    <xf borderId="1" fillId="5" fontId="2" numFmtId="0" xfId="0" applyBorder="1" applyFont="1"/>
    <xf borderId="1" fillId="5" fontId="2" numFmtId="0" xfId="0" applyAlignment="1" applyBorder="1" applyFont="1">
      <alignment horizontal="left"/>
    </xf>
    <xf borderId="1" fillId="4" fontId="2" numFmtId="164" xfId="0" applyBorder="1" applyFont="1" applyNumberFormat="1"/>
    <xf borderId="1" fillId="4" fontId="2" numFmtId="0" xfId="0" applyBorder="1" applyFont="1"/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1" fillId="6" fontId="2" numFmtId="164" xfId="0" applyBorder="1" applyFill="1" applyFont="1" applyNumberFormat="1"/>
    <xf borderId="0" fillId="0" fontId="8" numFmtId="0" xfId="0" applyFont="1"/>
    <xf borderId="0" fillId="0" fontId="2" numFmtId="165" xfId="0" applyAlignment="1" applyFont="1" applyNumberFormat="1">
      <alignment horizontal="left" shrinkToFit="0" wrapText="1"/>
    </xf>
    <xf borderId="0" fillId="0" fontId="9" numFmtId="0" xfId="0" applyFont="1"/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horizontal="right" shrinkToFit="0" wrapText="1"/>
    </xf>
    <xf borderId="1" fillId="7" fontId="7" numFmtId="0" xfId="0" applyBorder="1" applyFill="1" applyFont="1"/>
    <xf borderId="0" fillId="0" fontId="7" numFmtId="0" xfId="0" applyAlignment="1" applyFont="1">
      <alignment horizontal="right"/>
    </xf>
    <xf borderId="1" fillId="8" fontId="7" numFmtId="0" xfId="0" applyBorder="1" applyFill="1" applyFont="1"/>
    <xf borderId="0" fillId="0" fontId="10" numFmtId="0" xfId="0" applyFont="1"/>
    <xf borderId="0" fillId="0" fontId="2" numFmtId="0" xfId="0" applyAlignment="1" applyFont="1">
      <alignment vertical="top"/>
    </xf>
    <xf borderId="0" fillId="0" fontId="1" numFmtId="165" xfId="0" applyFont="1" applyNumberFormat="1"/>
    <xf borderId="1" fillId="9" fontId="2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4.14"/>
    <col customWidth="1" min="4" max="5" width="14.86"/>
    <col customWidth="1" min="6" max="6" width="15.86"/>
    <col customWidth="1" min="7" max="7" width="17.86"/>
    <col customWidth="1" min="8" max="8" width="15.29"/>
    <col customWidth="1" min="9" max="9" width="11.0"/>
    <col customWidth="1" min="10" max="10" width="8.71"/>
    <col customWidth="1" min="11" max="12" width="12.71"/>
    <col customWidth="1" min="13" max="26" width="8.71"/>
  </cols>
  <sheetData>
    <row r="1">
      <c r="A1" s="1" t="s">
        <v>0</v>
      </c>
      <c r="C1" s="2"/>
      <c r="H1" s="3"/>
      <c r="I1" s="4"/>
      <c r="J1" s="3"/>
      <c r="K1" s="5"/>
      <c r="L1" s="5"/>
    </row>
    <row r="2">
      <c r="A2" s="1" t="s">
        <v>1</v>
      </c>
      <c r="C2" s="2"/>
      <c r="H2" s="3"/>
      <c r="I2" s="4"/>
      <c r="J2" s="3"/>
      <c r="K2" s="5"/>
      <c r="L2" s="5"/>
    </row>
    <row r="3">
      <c r="A3" s="6" t="s">
        <v>2</v>
      </c>
      <c r="C3" s="2"/>
      <c r="H3" s="7"/>
      <c r="I3" s="8"/>
      <c r="J3" s="3"/>
      <c r="K3" s="5">
        <f>K4-F4</f>
        <v>1492502.104</v>
      </c>
      <c r="L3" s="5"/>
    </row>
    <row r="4">
      <c r="C4" s="2"/>
      <c r="D4" s="9"/>
      <c r="E4" s="9"/>
      <c r="H4" s="7"/>
      <c r="I4" s="10">
        <v>599200.85</v>
      </c>
      <c r="J4" s="3"/>
      <c r="K4" s="5">
        <f>SUM(K7:K1048160)</f>
        <v>1492502.104</v>
      </c>
      <c r="L4" s="5"/>
    </row>
    <row r="5">
      <c r="A5" s="11" t="s">
        <v>3</v>
      </c>
      <c r="B5" s="11" t="s">
        <v>4</v>
      </c>
      <c r="C5" s="12" t="s">
        <v>5</v>
      </c>
      <c r="D5" s="13" t="s">
        <v>6</v>
      </c>
      <c r="E5" s="13" t="s">
        <v>7</v>
      </c>
      <c r="F5" s="11" t="s">
        <v>8</v>
      </c>
      <c r="G5" s="11" t="s">
        <v>9</v>
      </c>
      <c r="H5" s="12" t="s">
        <v>10</v>
      </c>
      <c r="I5" s="12" t="s">
        <v>11</v>
      </c>
      <c r="J5" s="12" t="s">
        <v>12</v>
      </c>
      <c r="K5" s="14" t="s">
        <v>13</v>
      </c>
      <c r="L5" s="14" t="s">
        <v>14</v>
      </c>
      <c r="N5" s="4" t="str">
        <f t="shared" ref="N5:N10" si="1">O5&amp;"/"&amp;P5</f>
        <v>/</v>
      </c>
    </row>
    <row r="6">
      <c r="A6" s="15" t="s">
        <v>15</v>
      </c>
      <c r="C6" s="4"/>
      <c r="H6" s="4"/>
      <c r="I6" s="4"/>
      <c r="J6" s="3"/>
      <c r="K6" s="16"/>
      <c r="L6" s="16"/>
      <c r="N6" s="4" t="str">
        <f t="shared" si="1"/>
        <v>/</v>
      </c>
    </row>
    <row r="7">
      <c r="A7" s="17" t="s">
        <v>16</v>
      </c>
      <c r="C7" s="4" t="s">
        <v>17</v>
      </c>
      <c r="D7" s="4" t="s">
        <v>18</v>
      </c>
      <c r="E7" s="4"/>
      <c r="F7" s="18" t="str">
        <f t="shared" ref="F7:F14" si="2">G7</f>
        <v>FOOD</v>
      </c>
      <c r="G7" s="18" t="s">
        <v>19</v>
      </c>
      <c r="H7" s="4" t="str">
        <f t="shared" ref="H7:H1611" si="3">I7&amp;"/"&amp;J7</f>
        <v>1000/LIT</v>
      </c>
      <c r="I7" s="18">
        <v>1000.0</v>
      </c>
      <c r="J7" s="3" t="s">
        <v>20</v>
      </c>
      <c r="K7" s="16">
        <v>286.86</v>
      </c>
      <c r="L7" s="16"/>
      <c r="N7" s="4" t="str">
        <f t="shared" si="1"/>
        <v>/</v>
      </c>
    </row>
    <row r="8">
      <c r="A8" s="17" t="s">
        <v>16</v>
      </c>
      <c r="C8" s="4" t="s">
        <v>21</v>
      </c>
      <c r="D8" s="19" t="s">
        <v>22</v>
      </c>
      <c r="E8" s="4"/>
      <c r="F8" s="18" t="str">
        <f t="shared" si="2"/>
        <v>FOOD</v>
      </c>
      <c r="G8" s="18" t="s">
        <v>19</v>
      </c>
      <c r="H8" s="4" t="str">
        <f t="shared" si="3"/>
        <v>1/PACK</v>
      </c>
      <c r="I8" s="4">
        <v>1.0</v>
      </c>
      <c r="J8" s="3" t="s">
        <v>23</v>
      </c>
      <c r="K8" s="16">
        <v>55.300000000000004</v>
      </c>
      <c r="L8" s="16"/>
      <c r="N8" s="4" t="str">
        <f t="shared" si="1"/>
        <v>/</v>
      </c>
    </row>
    <row r="9">
      <c r="A9" s="17" t="s">
        <v>16</v>
      </c>
      <c r="C9" s="20" t="s">
        <v>24</v>
      </c>
      <c r="D9" s="20" t="s">
        <v>25</v>
      </c>
      <c r="E9" s="4"/>
      <c r="F9" s="18" t="str">
        <f t="shared" si="2"/>
        <v>FOOD</v>
      </c>
      <c r="G9" s="18" t="s">
        <v>19</v>
      </c>
      <c r="H9" s="4" t="str">
        <f t="shared" si="3"/>
        <v>1/PACK</v>
      </c>
      <c r="I9" s="4">
        <v>1.0</v>
      </c>
      <c r="J9" s="3" t="s">
        <v>23</v>
      </c>
      <c r="K9" s="16">
        <v>147.1</v>
      </c>
      <c r="L9" s="16"/>
      <c r="N9" s="4" t="str">
        <f t="shared" si="1"/>
        <v>/</v>
      </c>
    </row>
    <row r="10">
      <c r="A10" s="17" t="s">
        <v>16</v>
      </c>
      <c r="C10" s="4" t="s">
        <v>26</v>
      </c>
      <c r="D10" s="4" t="s">
        <v>27</v>
      </c>
      <c r="E10" s="4"/>
      <c r="F10" s="18" t="str">
        <f t="shared" si="2"/>
        <v>FOOD</v>
      </c>
      <c r="G10" s="18" t="s">
        <v>19</v>
      </c>
      <c r="H10" s="4" t="str">
        <f t="shared" si="3"/>
        <v>1/PACK</v>
      </c>
      <c r="I10" s="4">
        <v>1.0</v>
      </c>
      <c r="J10" s="3" t="s">
        <v>23</v>
      </c>
      <c r="K10" s="16">
        <v>194.2</v>
      </c>
      <c r="L10" s="16"/>
      <c r="N10" s="4" t="str">
        <f t="shared" si="1"/>
        <v>/</v>
      </c>
    </row>
    <row r="11">
      <c r="A11" s="17" t="s">
        <v>16</v>
      </c>
      <c r="C11" s="4" t="s">
        <v>28</v>
      </c>
      <c r="D11" s="4" t="s">
        <v>29</v>
      </c>
      <c r="E11" s="4"/>
      <c r="F11" s="18" t="str">
        <f t="shared" si="2"/>
        <v>FOOD</v>
      </c>
      <c r="G11" s="18" t="s">
        <v>19</v>
      </c>
      <c r="H11" s="4" t="str">
        <f t="shared" si="3"/>
        <v>1/CAN</v>
      </c>
      <c r="I11" s="4">
        <v>1.0</v>
      </c>
      <c r="J11" s="3" t="s">
        <v>30</v>
      </c>
      <c r="K11" s="16">
        <v>198.9</v>
      </c>
      <c r="L11" s="16"/>
    </row>
    <row r="12">
      <c r="A12" s="17" t="s">
        <v>16</v>
      </c>
      <c r="C12" s="4" t="s">
        <v>31</v>
      </c>
      <c r="D12" s="4" t="s">
        <v>32</v>
      </c>
      <c r="E12" s="4"/>
      <c r="F12" s="18" t="str">
        <f t="shared" si="2"/>
        <v>FOOD</v>
      </c>
      <c r="G12" s="18" t="s">
        <v>19</v>
      </c>
      <c r="H12" s="4" t="str">
        <f t="shared" si="3"/>
        <v>20/PACK</v>
      </c>
      <c r="I12" s="4">
        <v>20.0</v>
      </c>
      <c r="J12" s="3" t="s">
        <v>23</v>
      </c>
      <c r="K12" s="16">
        <v>127.1</v>
      </c>
      <c r="L12" s="16"/>
    </row>
    <row r="13">
      <c r="A13" s="17" t="s">
        <v>16</v>
      </c>
      <c r="C13" s="4" t="s">
        <v>33</v>
      </c>
      <c r="D13" s="4" t="s">
        <v>34</v>
      </c>
      <c r="E13" s="4"/>
      <c r="F13" s="18" t="str">
        <f t="shared" si="2"/>
        <v>FOOD</v>
      </c>
      <c r="G13" s="18" t="s">
        <v>19</v>
      </c>
      <c r="H13" s="4" t="str">
        <f t="shared" si="3"/>
        <v>1000/KG</v>
      </c>
      <c r="I13" s="4">
        <v>1000.0</v>
      </c>
      <c r="J13" s="3" t="s">
        <v>35</v>
      </c>
      <c r="K13" s="16">
        <v>618.75</v>
      </c>
      <c r="L13" s="16"/>
    </row>
    <row r="14">
      <c r="A14" s="17" t="s">
        <v>16</v>
      </c>
      <c r="C14" s="4" t="s">
        <v>36</v>
      </c>
      <c r="D14" s="4" t="s">
        <v>37</v>
      </c>
      <c r="E14" s="4"/>
      <c r="F14" s="18" t="str">
        <f t="shared" si="2"/>
        <v>FOOD</v>
      </c>
      <c r="G14" s="18" t="s">
        <v>19</v>
      </c>
      <c r="H14" s="4" t="str">
        <f t="shared" si="3"/>
        <v>1000/KG</v>
      </c>
      <c r="I14" s="4">
        <v>1000.0</v>
      </c>
      <c r="J14" s="3" t="s">
        <v>35</v>
      </c>
      <c r="K14" s="16">
        <v>525.0</v>
      </c>
      <c r="L14" s="16"/>
    </row>
    <row r="15">
      <c r="A15" s="17" t="s">
        <v>16</v>
      </c>
      <c r="C15" s="4" t="s">
        <v>38</v>
      </c>
      <c r="D15" s="4" t="s">
        <v>39</v>
      </c>
      <c r="E15" s="4"/>
      <c r="F15" s="18" t="s">
        <v>40</v>
      </c>
      <c r="G15" s="18" t="s">
        <v>41</v>
      </c>
      <c r="H15" s="4" t="str">
        <f t="shared" si="3"/>
        <v>300/PC</v>
      </c>
      <c r="I15" s="4">
        <v>300.0</v>
      </c>
      <c r="J15" s="3" t="s">
        <v>42</v>
      </c>
      <c r="K15" s="16">
        <f>1.51*300</f>
        <v>453</v>
      </c>
      <c r="L15" s="16"/>
    </row>
    <row r="16">
      <c r="A16" s="17" t="s">
        <v>16</v>
      </c>
      <c r="C16" s="20" t="s">
        <v>38</v>
      </c>
      <c r="D16" s="21" t="s">
        <v>43</v>
      </c>
      <c r="E16" s="4"/>
      <c r="F16" s="18" t="s">
        <v>40</v>
      </c>
      <c r="G16" s="18" t="s">
        <v>41</v>
      </c>
      <c r="H16" s="4" t="str">
        <f t="shared" si="3"/>
        <v>300/ROLL</v>
      </c>
      <c r="I16" s="4">
        <v>300.0</v>
      </c>
      <c r="J16" s="3" t="s">
        <v>44</v>
      </c>
      <c r="K16" s="16">
        <v>450.0</v>
      </c>
      <c r="L16" s="16"/>
    </row>
    <row r="17">
      <c r="A17" s="17" t="s">
        <v>16</v>
      </c>
      <c r="C17" s="4" t="s">
        <v>45</v>
      </c>
      <c r="D17" s="4" t="s">
        <v>46</v>
      </c>
      <c r="E17" s="4"/>
      <c r="F17" s="18" t="str">
        <f t="shared" ref="F17:F31" si="4">G17</f>
        <v>SMALLWARES</v>
      </c>
      <c r="G17" s="18" t="s">
        <v>47</v>
      </c>
      <c r="H17" s="4" t="str">
        <f t="shared" si="3"/>
        <v>1/PC</v>
      </c>
      <c r="I17" s="18">
        <v>1.0</v>
      </c>
      <c r="J17" s="3" t="s">
        <v>42</v>
      </c>
      <c r="K17" s="16">
        <v>40.31</v>
      </c>
      <c r="L17" s="16"/>
    </row>
    <row r="18">
      <c r="A18" s="17" t="s">
        <v>16</v>
      </c>
      <c r="C18" s="4" t="s">
        <v>48</v>
      </c>
      <c r="D18" s="4" t="s">
        <v>49</v>
      </c>
      <c r="E18" s="4"/>
      <c r="F18" s="18" t="str">
        <f t="shared" si="4"/>
        <v>SMALLWARES</v>
      </c>
      <c r="G18" s="18" t="s">
        <v>47</v>
      </c>
      <c r="H18" s="4" t="str">
        <f t="shared" si="3"/>
        <v>1/PC</v>
      </c>
      <c r="I18" s="4">
        <v>1.0</v>
      </c>
      <c r="J18" s="3" t="s">
        <v>42</v>
      </c>
      <c r="K18" s="16">
        <v>35.48</v>
      </c>
      <c r="L18" s="16"/>
    </row>
    <row r="19">
      <c r="A19" s="17" t="s">
        <v>16</v>
      </c>
      <c r="C19" s="4" t="s">
        <v>50</v>
      </c>
      <c r="D19" s="4" t="s">
        <v>51</v>
      </c>
      <c r="E19" s="4"/>
      <c r="F19" s="18" t="str">
        <f t="shared" si="4"/>
        <v>FOOD</v>
      </c>
      <c r="G19" s="18" t="s">
        <v>19</v>
      </c>
      <c r="H19" s="4" t="str">
        <f t="shared" si="3"/>
        <v>1000/KG</v>
      </c>
      <c r="I19" s="4">
        <v>1000.0</v>
      </c>
      <c r="J19" s="3" t="s">
        <v>35</v>
      </c>
      <c r="K19" s="16">
        <v>1607.14</v>
      </c>
      <c r="L19" s="16"/>
    </row>
    <row r="20">
      <c r="A20" s="17" t="s">
        <v>16</v>
      </c>
      <c r="C20" s="20" t="s">
        <v>52</v>
      </c>
      <c r="D20" s="21" t="s">
        <v>53</v>
      </c>
      <c r="E20" s="4"/>
      <c r="F20" s="18" t="str">
        <f t="shared" si="4"/>
        <v>BEVERAGE</v>
      </c>
      <c r="G20" s="18" t="s">
        <v>54</v>
      </c>
      <c r="H20" s="4" t="str">
        <f t="shared" si="3"/>
        <v>700/LIT</v>
      </c>
      <c r="I20" s="4">
        <v>700.0</v>
      </c>
      <c r="J20" s="3" t="s">
        <v>20</v>
      </c>
      <c r="K20" s="16">
        <v>1138.46</v>
      </c>
      <c r="L20" s="16"/>
    </row>
    <row r="21" ht="15.75" customHeight="1">
      <c r="A21" s="17" t="s">
        <v>16</v>
      </c>
      <c r="C21" s="4" t="s">
        <v>55</v>
      </c>
      <c r="D21" s="4" t="s">
        <v>56</v>
      </c>
      <c r="E21" s="4"/>
      <c r="F21" s="18" t="str">
        <f t="shared" si="4"/>
        <v>FOOD</v>
      </c>
      <c r="G21" s="18" t="s">
        <v>19</v>
      </c>
      <c r="H21" s="4" t="str">
        <f t="shared" si="3"/>
        <v>8/WHOLE</v>
      </c>
      <c r="I21" s="4">
        <v>8.0</v>
      </c>
      <c r="J21" s="3" t="s">
        <v>57</v>
      </c>
      <c r="K21" s="16">
        <v>689.5</v>
      </c>
      <c r="L21" s="16"/>
    </row>
    <row r="22" ht="15.75" customHeight="1">
      <c r="A22" s="17" t="s">
        <v>16</v>
      </c>
      <c r="C22" s="4" t="s">
        <v>58</v>
      </c>
      <c r="D22" s="4" t="s">
        <v>59</v>
      </c>
      <c r="E22" s="4"/>
      <c r="F22" s="18" t="str">
        <f t="shared" si="4"/>
        <v>FOOD</v>
      </c>
      <c r="G22" s="18" t="s">
        <v>19</v>
      </c>
      <c r="H22" s="4" t="str">
        <f t="shared" si="3"/>
        <v>12/OZ</v>
      </c>
      <c r="I22" s="4">
        <v>12.0</v>
      </c>
      <c r="J22" s="3" t="s">
        <v>60</v>
      </c>
      <c r="K22" s="16">
        <v>8.59</v>
      </c>
      <c r="L22" s="16"/>
    </row>
    <row r="23" ht="15.75" customHeight="1">
      <c r="A23" s="17" t="s">
        <v>16</v>
      </c>
      <c r="C23" s="20" t="s">
        <v>58</v>
      </c>
      <c r="D23" s="21" t="s">
        <v>61</v>
      </c>
      <c r="E23" s="4"/>
      <c r="F23" s="18" t="str">
        <f t="shared" si="4"/>
        <v>FOOD</v>
      </c>
      <c r="G23" s="18" t="s">
        <v>19</v>
      </c>
      <c r="H23" s="4" t="str">
        <f t="shared" si="3"/>
        <v>300/PC</v>
      </c>
      <c r="I23" s="4">
        <v>300.0</v>
      </c>
      <c r="J23" s="19" t="s">
        <v>42</v>
      </c>
      <c r="K23" s="16">
        <v>56.25</v>
      </c>
      <c r="L23" s="16"/>
    </row>
    <row r="24" ht="15.75" customHeight="1">
      <c r="A24" s="17" t="s">
        <v>16</v>
      </c>
      <c r="C24" s="4" t="s">
        <v>62</v>
      </c>
      <c r="D24" s="4" t="s">
        <v>63</v>
      </c>
      <c r="E24" s="4"/>
      <c r="F24" s="18" t="str">
        <f t="shared" si="4"/>
        <v>FOOD</v>
      </c>
      <c r="G24" s="18" t="s">
        <v>19</v>
      </c>
      <c r="H24" s="4" t="str">
        <f t="shared" si="3"/>
        <v>1000/KG</v>
      </c>
      <c r="I24" s="4">
        <v>1000.0</v>
      </c>
      <c r="J24" s="3" t="s">
        <v>35</v>
      </c>
      <c r="K24" s="16">
        <v>285.54</v>
      </c>
      <c r="L24" s="16"/>
    </row>
    <row r="25" ht="15.75" customHeight="1">
      <c r="A25" s="17" t="s">
        <v>16</v>
      </c>
      <c r="C25" s="4" t="s">
        <v>64</v>
      </c>
      <c r="D25" s="4" t="s">
        <v>65</v>
      </c>
      <c r="E25" s="4"/>
      <c r="F25" s="18" t="str">
        <f t="shared" si="4"/>
        <v>BEVERAGE</v>
      </c>
      <c r="G25" s="18" t="s">
        <v>54</v>
      </c>
      <c r="H25" s="4" t="str">
        <f t="shared" si="3"/>
        <v>1000/LIT</v>
      </c>
      <c r="I25" s="4">
        <v>1000.0</v>
      </c>
      <c r="J25" s="3" t="s">
        <v>20</v>
      </c>
      <c r="K25" s="16">
        <v>1015.0</v>
      </c>
      <c r="L25" s="16"/>
    </row>
    <row r="26" ht="15.75" customHeight="1">
      <c r="A26" s="17" t="s">
        <v>16</v>
      </c>
      <c r="C26" s="20" t="s">
        <v>66</v>
      </c>
      <c r="D26" s="4" t="s">
        <v>67</v>
      </c>
      <c r="E26" s="4"/>
      <c r="F26" s="18" t="str">
        <f t="shared" si="4"/>
        <v>FOOD</v>
      </c>
      <c r="G26" s="18" t="s">
        <v>19</v>
      </c>
      <c r="H26" s="4" t="str">
        <f t="shared" si="3"/>
        <v>1000/KG</v>
      </c>
      <c r="I26" s="4">
        <v>1000.0</v>
      </c>
      <c r="J26" s="3" t="s">
        <v>35</v>
      </c>
      <c r="K26" s="16">
        <v>435.94</v>
      </c>
      <c r="L26" s="16"/>
    </row>
    <row r="27" ht="15.75" customHeight="1">
      <c r="A27" s="17" t="s">
        <v>16</v>
      </c>
      <c r="C27" s="20" t="s">
        <v>68</v>
      </c>
      <c r="D27" s="4" t="s">
        <v>69</v>
      </c>
      <c r="E27" s="4"/>
      <c r="F27" s="18" t="str">
        <f t="shared" si="4"/>
        <v>FOOD</v>
      </c>
      <c r="G27" s="18" t="s">
        <v>19</v>
      </c>
      <c r="H27" s="4" t="str">
        <f t="shared" si="3"/>
        <v>1000/KG</v>
      </c>
      <c r="I27" s="18">
        <v>1000.0</v>
      </c>
      <c r="J27" s="3" t="s">
        <v>35</v>
      </c>
      <c r="K27" s="16">
        <v>478.12</v>
      </c>
      <c r="L27" s="16"/>
    </row>
    <row r="28" ht="15.75" customHeight="1">
      <c r="A28" s="17" t="s">
        <v>16</v>
      </c>
      <c r="C28" s="4" t="s">
        <v>70</v>
      </c>
      <c r="D28" s="22" t="s">
        <v>71</v>
      </c>
      <c r="E28" s="4"/>
      <c r="F28" s="18" t="str">
        <f t="shared" si="4"/>
        <v>FOOD</v>
      </c>
      <c r="G28" s="18" t="s">
        <v>19</v>
      </c>
      <c r="H28" s="4" t="str">
        <f t="shared" si="3"/>
        <v>1000/KG</v>
      </c>
      <c r="I28" s="4">
        <v>1000.0</v>
      </c>
      <c r="J28" s="3" t="s">
        <v>35</v>
      </c>
      <c r="K28" s="16">
        <v>457.15</v>
      </c>
      <c r="L28" s="16"/>
    </row>
    <row r="29" ht="15.75" customHeight="1">
      <c r="A29" s="17" t="s">
        <v>16</v>
      </c>
      <c r="C29" s="4" t="s">
        <v>72</v>
      </c>
      <c r="D29" s="4" t="s">
        <v>73</v>
      </c>
      <c r="E29" s="4"/>
      <c r="F29" s="18" t="str">
        <f t="shared" si="4"/>
        <v>FOOD</v>
      </c>
      <c r="G29" s="18" t="s">
        <v>19</v>
      </c>
      <c r="H29" s="4" t="str">
        <f t="shared" si="3"/>
        <v>1000/KG</v>
      </c>
      <c r="I29" s="4">
        <v>1000.0</v>
      </c>
      <c r="J29" s="3" t="s">
        <v>35</v>
      </c>
      <c r="K29" s="16">
        <v>187.19</v>
      </c>
      <c r="L29" s="16"/>
    </row>
    <row r="30" ht="15.75" customHeight="1">
      <c r="A30" s="17" t="s">
        <v>16</v>
      </c>
      <c r="C30" s="4" t="s">
        <v>74</v>
      </c>
      <c r="D30" s="4" t="s">
        <v>75</v>
      </c>
      <c r="E30" s="4"/>
      <c r="F30" s="18" t="str">
        <f t="shared" si="4"/>
        <v>FOOD</v>
      </c>
      <c r="G30" s="18" t="s">
        <v>19</v>
      </c>
      <c r="H30" s="4" t="str">
        <f t="shared" si="3"/>
        <v>1000/KG</v>
      </c>
      <c r="I30" s="4">
        <v>1000.0</v>
      </c>
      <c r="J30" s="3" t="s">
        <v>35</v>
      </c>
      <c r="K30" s="16">
        <v>144.9</v>
      </c>
      <c r="L30" s="16"/>
    </row>
    <row r="31" ht="15.75" customHeight="1">
      <c r="A31" s="17" t="s">
        <v>16</v>
      </c>
      <c r="C31" s="20" t="s">
        <v>76</v>
      </c>
      <c r="D31" s="4" t="s">
        <v>77</v>
      </c>
      <c r="E31" s="4"/>
      <c r="F31" s="18" t="str">
        <f t="shared" si="4"/>
        <v>FOOD</v>
      </c>
      <c r="G31" s="18" t="s">
        <v>19</v>
      </c>
      <c r="H31" s="4" t="str">
        <f t="shared" si="3"/>
        <v>1000/PACK</v>
      </c>
      <c r="I31" s="18">
        <v>1000.0</v>
      </c>
      <c r="J31" s="3" t="s">
        <v>23</v>
      </c>
      <c r="K31" s="16">
        <v>89.28</v>
      </c>
      <c r="L31" s="16"/>
    </row>
    <row r="32" ht="15.75" customHeight="1">
      <c r="A32" s="17" t="s">
        <v>16</v>
      </c>
      <c r="C32" s="4" t="s">
        <v>78</v>
      </c>
      <c r="D32" s="4" t="s">
        <v>79</v>
      </c>
      <c r="E32" s="4"/>
      <c r="F32" s="18" t="s">
        <v>40</v>
      </c>
      <c r="G32" s="18" t="s">
        <v>41</v>
      </c>
      <c r="H32" s="4" t="str">
        <f t="shared" si="3"/>
        <v>1/PC</v>
      </c>
      <c r="I32" s="4">
        <v>1.0</v>
      </c>
      <c r="J32" s="3" t="s">
        <v>42</v>
      </c>
      <c r="K32" s="16">
        <v>1.5</v>
      </c>
      <c r="L32" s="16"/>
    </row>
    <row r="33" ht="15.75" customHeight="1">
      <c r="A33" s="17" t="s">
        <v>16</v>
      </c>
      <c r="C33" s="4" t="s">
        <v>80</v>
      </c>
      <c r="D33" s="4" t="s">
        <v>81</v>
      </c>
      <c r="E33" s="4"/>
      <c r="F33" s="18" t="str">
        <f t="shared" ref="F33:F65" si="5">G33</f>
        <v>FOOD</v>
      </c>
      <c r="G33" s="18" t="s">
        <v>19</v>
      </c>
      <c r="H33" s="4" t="str">
        <f t="shared" si="3"/>
        <v>1/PACK</v>
      </c>
      <c r="I33" s="4">
        <v>1.0</v>
      </c>
      <c r="J33" s="3" t="s">
        <v>23</v>
      </c>
      <c r="K33" s="16">
        <v>148.29999999999998</v>
      </c>
      <c r="L33" s="16"/>
    </row>
    <row r="34" ht="15.75" customHeight="1">
      <c r="A34" s="17" t="s">
        <v>16</v>
      </c>
      <c r="C34" s="4" t="s">
        <v>82</v>
      </c>
      <c r="D34" s="4" t="s">
        <v>83</v>
      </c>
      <c r="E34" s="4"/>
      <c r="F34" s="18" t="str">
        <f t="shared" si="5"/>
        <v>FOOD</v>
      </c>
      <c r="G34" s="18" t="s">
        <v>19</v>
      </c>
      <c r="H34" s="4" t="str">
        <f t="shared" si="3"/>
        <v>1/PACK</v>
      </c>
      <c r="I34" s="4">
        <v>1.0</v>
      </c>
      <c r="J34" s="3" t="s">
        <v>23</v>
      </c>
      <c r="K34" s="16">
        <v>20.0</v>
      </c>
      <c r="L34" s="16"/>
    </row>
    <row r="35" ht="15.75" customHeight="1">
      <c r="A35" s="17" t="s">
        <v>16</v>
      </c>
      <c r="C35" s="4" t="s">
        <v>84</v>
      </c>
      <c r="D35" s="4" t="s">
        <v>85</v>
      </c>
      <c r="E35" s="4"/>
      <c r="F35" s="18" t="str">
        <f t="shared" si="5"/>
        <v>FOOD</v>
      </c>
      <c r="G35" s="18" t="s">
        <v>19</v>
      </c>
      <c r="H35" s="4" t="str">
        <f t="shared" si="3"/>
        <v>1000/KG</v>
      </c>
      <c r="I35" s="4">
        <v>1000.0</v>
      </c>
      <c r="J35" s="3" t="s">
        <v>35</v>
      </c>
      <c r="K35" s="16">
        <v>960.6</v>
      </c>
      <c r="L35" s="16"/>
    </row>
    <row r="36" ht="15.75" customHeight="1">
      <c r="A36" s="17" t="s">
        <v>16</v>
      </c>
      <c r="C36" s="4" t="s">
        <v>86</v>
      </c>
      <c r="D36" s="4" t="s">
        <v>87</v>
      </c>
      <c r="E36" s="4"/>
      <c r="F36" s="18" t="str">
        <f t="shared" si="5"/>
        <v>FOOD</v>
      </c>
      <c r="G36" s="18" t="s">
        <v>19</v>
      </c>
      <c r="H36" s="4" t="str">
        <f t="shared" si="3"/>
        <v>1/PACK</v>
      </c>
      <c r="I36" s="4">
        <v>1.0</v>
      </c>
      <c r="J36" s="3" t="s">
        <v>23</v>
      </c>
      <c r="K36" s="16">
        <v>51.800000000000004</v>
      </c>
      <c r="L36" s="16"/>
    </row>
    <row r="37" ht="15.75" customHeight="1">
      <c r="A37" s="17" t="s">
        <v>16</v>
      </c>
      <c r="C37" s="20" t="s">
        <v>88</v>
      </c>
      <c r="D37" s="4" t="s">
        <v>89</v>
      </c>
      <c r="E37" s="4"/>
      <c r="F37" s="18" t="str">
        <f t="shared" si="5"/>
        <v>FOOD</v>
      </c>
      <c r="G37" s="18" t="s">
        <v>19</v>
      </c>
      <c r="H37" s="4" t="str">
        <f t="shared" si="3"/>
        <v>1000/KG</v>
      </c>
      <c r="I37" s="4">
        <v>1000.0</v>
      </c>
      <c r="J37" s="3" t="s">
        <v>35</v>
      </c>
      <c r="K37" s="16">
        <v>2574.41</v>
      </c>
      <c r="L37" s="16"/>
    </row>
    <row r="38" ht="15.75" customHeight="1">
      <c r="A38" s="17" t="s">
        <v>16</v>
      </c>
      <c r="C38" s="4" t="s">
        <v>90</v>
      </c>
      <c r="D38" s="4" t="s">
        <v>91</v>
      </c>
      <c r="E38" s="4"/>
      <c r="F38" s="18" t="str">
        <f t="shared" si="5"/>
        <v>FOOD</v>
      </c>
      <c r="G38" s="18" t="s">
        <v>19</v>
      </c>
      <c r="H38" s="4" t="str">
        <f t="shared" si="3"/>
        <v>400/PACK</v>
      </c>
      <c r="I38" s="4">
        <v>400.0</v>
      </c>
      <c r="J38" s="3" t="s">
        <v>23</v>
      </c>
      <c r="K38" s="16">
        <v>29.86</v>
      </c>
      <c r="L38" s="16"/>
    </row>
    <row r="39" ht="15.75" customHeight="1">
      <c r="A39" s="17" t="s">
        <v>16</v>
      </c>
      <c r="C39" s="4" t="s">
        <v>92</v>
      </c>
      <c r="D39" s="4" t="s">
        <v>93</v>
      </c>
      <c r="E39" s="4"/>
      <c r="F39" s="18" t="str">
        <f t="shared" si="5"/>
        <v>FOOD</v>
      </c>
      <c r="G39" s="18" t="s">
        <v>19</v>
      </c>
      <c r="H39" s="4" t="str">
        <f t="shared" si="3"/>
        <v>1000/KG</v>
      </c>
      <c r="I39" s="4">
        <v>1000.0</v>
      </c>
      <c r="J39" s="3" t="s">
        <v>35</v>
      </c>
      <c r="K39" s="16">
        <v>553.92</v>
      </c>
      <c r="L39" s="16"/>
    </row>
    <row r="40" ht="15.75" customHeight="1">
      <c r="A40" s="17" t="s">
        <v>16</v>
      </c>
      <c r="C40" s="4" t="s">
        <v>94</v>
      </c>
      <c r="D40" s="4" t="s">
        <v>95</v>
      </c>
      <c r="E40" s="4"/>
      <c r="F40" s="18" t="str">
        <f t="shared" si="5"/>
        <v>FOOD</v>
      </c>
      <c r="G40" s="18" t="s">
        <v>19</v>
      </c>
      <c r="H40" s="4" t="str">
        <f t="shared" si="3"/>
        <v>500/PACK</v>
      </c>
      <c r="I40" s="4">
        <v>500.0</v>
      </c>
      <c r="J40" s="3" t="s">
        <v>23</v>
      </c>
      <c r="K40" s="16">
        <v>109.5</v>
      </c>
      <c r="L40" s="16"/>
    </row>
    <row r="41" ht="15.75" customHeight="1">
      <c r="A41" s="17" t="s">
        <v>16</v>
      </c>
      <c r="C41" s="4" t="s">
        <v>96</v>
      </c>
      <c r="D41" s="4" t="s">
        <v>97</v>
      </c>
      <c r="E41" s="4"/>
      <c r="F41" s="18" t="str">
        <f t="shared" si="5"/>
        <v>FOOD</v>
      </c>
      <c r="G41" s="18" t="s">
        <v>19</v>
      </c>
      <c r="H41" s="4" t="str">
        <f t="shared" si="3"/>
        <v>1000/LIT</v>
      </c>
      <c r="I41" s="4">
        <v>1000.0</v>
      </c>
      <c r="J41" s="3" t="s">
        <v>20</v>
      </c>
      <c r="K41" s="16">
        <v>105.89999999999999</v>
      </c>
      <c r="L41" s="16"/>
    </row>
    <row r="42" ht="15.75" customHeight="1">
      <c r="A42" s="17" t="s">
        <v>16</v>
      </c>
      <c r="C42" s="20" t="s">
        <v>98</v>
      </c>
      <c r="D42" s="4" t="s">
        <v>99</v>
      </c>
      <c r="E42" s="4"/>
      <c r="F42" s="18" t="str">
        <f t="shared" si="5"/>
        <v>FOOD</v>
      </c>
      <c r="G42" s="18" t="s">
        <v>19</v>
      </c>
      <c r="H42" s="4" t="str">
        <f t="shared" si="3"/>
        <v>1000/KG</v>
      </c>
      <c r="I42" s="18">
        <v>1000.0</v>
      </c>
      <c r="J42" s="3" t="s">
        <v>35</v>
      </c>
      <c r="K42" s="16">
        <v>1031.25</v>
      </c>
      <c r="L42" s="16"/>
    </row>
    <row r="43" ht="15.75" customHeight="1">
      <c r="A43" s="17" t="s">
        <v>16</v>
      </c>
      <c r="C43" s="4" t="s">
        <v>100</v>
      </c>
      <c r="D43" s="4" t="s">
        <v>101</v>
      </c>
      <c r="E43" s="4"/>
      <c r="F43" s="18" t="str">
        <f t="shared" si="5"/>
        <v>BEVERAGE</v>
      </c>
      <c r="G43" s="18" t="s">
        <v>54</v>
      </c>
      <c r="H43" s="4" t="str">
        <f t="shared" si="3"/>
        <v>1000/LIT</v>
      </c>
      <c r="I43" s="4">
        <v>1000.0</v>
      </c>
      <c r="J43" s="3" t="s">
        <v>20</v>
      </c>
      <c r="K43" s="16">
        <v>165.39</v>
      </c>
      <c r="L43" s="16"/>
    </row>
    <row r="44" ht="15.75" customHeight="1">
      <c r="A44" s="17" t="s">
        <v>16</v>
      </c>
      <c r="C44" s="4" t="s">
        <v>102</v>
      </c>
      <c r="D44" s="4" t="s">
        <v>103</v>
      </c>
      <c r="E44" s="4"/>
      <c r="F44" s="18" t="str">
        <f t="shared" si="5"/>
        <v>BEVERAGE</v>
      </c>
      <c r="G44" s="18" t="s">
        <v>54</v>
      </c>
      <c r="H44" s="4" t="str">
        <f t="shared" si="3"/>
        <v>1000/LIT</v>
      </c>
      <c r="I44" s="4">
        <v>1000.0</v>
      </c>
      <c r="J44" s="3" t="s">
        <v>20</v>
      </c>
      <c r="K44" s="16">
        <v>135.73</v>
      </c>
      <c r="L44" s="16"/>
    </row>
    <row r="45" ht="15.75" customHeight="1">
      <c r="A45" s="17" t="s">
        <v>16</v>
      </c>
      <c r="C45" s="4" t="s">
        <v>104</v>
      </c>
      <c r="D45" s="4" t="s">
        <v>105</v>
      </c>
      <c r="E45" s="4"/>
      <c r="F45" s="18" t="str">
        <f t="shared" si="5"/>
        <v>BEVERAGE</v>
      </c>
      <c r="G45" s="18" t="s">
        <v>54</v>
      </c>
      <c r="H45" s="4" t="str">
        <f t="shared" si="3"/>
        <v>1000/LIT</v>
      </c>
      <c r="I45" s="4">
        <v>1000.0</v>
      </c>
      <c r="J45" s="3" t="s">
        <v>20</v>
      </c>
      <c r="K45" s="16">
        <v>119.67</v>
      </c>
      <c r="L45" s="16"/>
    </row>
    <row r="46" ht="15.75" customHeight="1">
      <c r="A46" s="17" t="s">
        <v>16</v>
      </c>
      <c r="C46" s="4" t="s">
        <v>106</v>
      </c>
      <c r="D46" s="4" t="s">
        <v>107</v>
      </c>
      <c r="E46" s="4"/>
      <c r="F46" s="18" t="str">
        <f t="shared" si="5"/>
        <v>FOOD</v>
      </c>
      <c r="G46" s="18" t="s">
        <v>19</v>
      </c>
      <c r="H46" s="4" t="str">
        <f t="shared" si="3"/>
        <v>5/PACK</v>
      </c>
      <c r="I46" s="4">
        <v>5.0</v>
      </c>
      <c r="J46" s="3" t="s">
        <v>23</v>
      </c>
      <c r="K46" s="16">
        <v>58.9</v>
      </c>
      <c r="L46" s="16"/>
    </row>
    <row r="47" ht="15.75" customHeight="1">
      <c r="A47" s="17" t="s">
        <v>16</v>
      </c>
      <c r="C47" s="4" t="s">
        <v>108</v>
      </c>
      <c r="D47" s="4" t="s">
        <v>109</v>
      </c>
      <c r="E47" s="4"/>
      <c r="F47" s="18" t="str">
        <f t="shared" si="5"/>
        <v>FOOD</v>
      </c>
      <c r="G47" s="18" t="s">
        <v>19</v>
      </c>
      <c r="H47" s="4" t="str">
        <f t="shared" si="3"/>
        <v>10/Whole</v>
      </c>
      <c r="I47" s="4">
        <v>10.0</v>
      </c>
      <c r="J47" s="3" t="s">
        <v>110</v>
      </c>
      <c r="K47" s="16">
        <v>549.5</v>
      </c>
      <c r="L47" s="16"/>
    </row>
    <row r="48" ht="15.75" customHeight="1">
      <c r="A48" s="17" t="s">
        <v>16</v>
      </c>
      <c r="C48" s="20" t="s">
        <v>111</v>
      </c>
      <c r="D48" s="3" t="s">
        <v>112</v>
      </c>
      <c r="E48" s="4"/>
      <c r="F48" s="18" t="str">
        <f t="shared" si="5"/>
        <v>FOOD</v>
      </c>
      <c r="G48" s="18" t="s">
        <v>19</v>
      </c>
      <c r="H48" s="4" t="str">
        <f t="shared" si="3"/>
        <v>8/BOT</v>
      </c>
      <c r="I48" s="4">
        <v>8.0</v>
      </c>
      <c r="J48" s="3" t="s">
        <v>113</v>
      </c>
      <c r="K48" s="16">
        <v>126.0</v>
      </c>
      <c r="L48" s="16"/>
    </row>
    <row r="49" ht="15.75" customHeight="1">
      <c r="A49" s="17" t="s">
        <v>16</v>
      </c>
      <c r="C49" s="20" t="s">
        <v>114</v>
      </c>
      <c r="D49" s="4" t="s">
        <v>115</v>
      </c>
      <c r="E49" s="4"/>
      <c r="F49" s="18" t="str">
        <f t="shared" si="5"/>
        <v>FOOD</v>
      </c>
      <c r="G49" s="18" t="s">
        <v>19</v>
      </c>
      <c r="H49" s="4" t="str">
        <f t="shared" si="3"/>
        <v>1000/KG</v>
      </c>
      <c r="I49" s="4">
        <v>1000.0</v>
      </c>
      <c r="J49" s="3" t="s">
        <v>35</v>
      </c>
      <c r="K49" s="16">
        <v>75.63</v>
      </c>
      <c r="L49" s="16"/>
    </row>
    <row r="50" ht="15.75" customHeight="1">
      <c r="A50" s="17" t="s">
        <v>16</v>
      </c>
      <c r="C50" s="4" t="s">
        <v>116</v>
      </c>
      <c r="D50" s="4" t="s">
        <v>117</v>
      </c>
      <c r="E50" s="4"/>
      <c r="F50" s="18" t="str">
        <f t="shared" si="5"/>
        <v>FOOD</v>
      </c>
      <c r="G50" s="18" t="s">
        <v>19</v>
      </c>
      <c r="H50" s="4" t="str">
        <f t="shared" si="3"/>
        <v>1000/KG</v>
      </c>
      <c r="I50" s="4">
        <v>1000.0</v>
      </c>
      <c r="J50" s="3" t="s">
        <v>35</v>
      </c>
      <c r="K50" s="16">
        <v>435.94</v>
      </c>
      <c r="L50" s="16"/>
    </row>
    <row r="51" ht="15.75" customHeight="1">
      <c r="A51" s="17" t="s">
        <v>16</v>
      </c>
      <c r="C51" s="4" t="s">
        <v>118</v>
      </c>
      <c r="D51" s="4" t="s">
        <v>119</v>
      </c>
      <c r="E51" s="4"/>
      <c r="F51" s="18" t="str">
        <f t="shared" si="5"/>
        <v>FOOD</v>
      </c>
      <c r="G51" s="18" t="s">
        <v>19</v>
      </c>
      <c r="H51" s="4" t="str">
        <f t="shared" si="3"/>
        <v>1000/KG</v>
      </c>
      <c r="I51" s="4">
        <v>1000.0</v>
      </c>
      <c r="J51" s="3" t="s">
        <v>35</v>
      </c>
      <c r="K51" s="16">
        <v>283.24</v>
      </c>
      <c r="L51" s="16"/>
    </row>
    <row r="52" ht="15.75" customHeight="1">
      <c r="A52" s="17" t="s">
        <v>16</v>
      </c>
      <c r="C52" s="4" t="s">
        <v>120</v>
      </c>
      <c r="D52" s="4" t="s">
        <v>121</v>
      </c>
      <c r="E52" s="4"/>
      <c r="F52" s="18" t="str">
        <f t="shared" si="5"/>
        <v>FOOD</v>
      </c>
      <c r="G52" s="18" t="s">
        <v>19</v>
      </c>
      <c r="H52" s="4" t="str">
        <f t="shared" si="3"/>
        <v>670/PACK</v>
      </c>
      <c r="I52" s="4">
        <v>670.0</v>
      </c>
      <c r="J52" s="3" t="s">
        <v>23</v>
      </c>
      <c r="K52" s="16">
        <v>318.9</v>
      </c>
      <c r="L52" s="16"/>
    </row>
    <row r="53" ht="15.75" customHeight="1">
      <c r="A53" s="17" t="s">
        <v>16</v>
      </c>
      <c r="C53" s="4" t="s">
        <v>122</v>
      </c>
      <c r="D53" s="4" t="s">
        <v>123</v>
      </c>
      <c r="E53" s="4"/>
      <c r="F53" s="18" t="str">
        <f t="shared" si="5"/>
        <v>FOOD</v>
      </c>
      <c r="G53" s="18" t="s">
        <v>19</v>
      </c>
      <c r="H53" s="4" t="str">
        <f t="shared" si="3"/>
        <v>670/PACK</v>
      </c>
      <c r="I53" s="4">
        <v>670.0</v>
      </c>
      <c r="J53" s="3" t="s">
        <v>23</v>
      </c>
      <c r="K53" s="16">
        <v>229.5</v>
      </c>
      <c r="L53" s="16"/>
    </row>
    <row r="54" ht="15.75" customHeight="1">
      <c r="A54" s="17" t="s">
        <v>16</v>
      </c>
      <c r="C54" s="20" t="s">
        <v>124</v>
      </c>
      <c r="D54" s="4" t="s">
        <v>125</v>
      </c>
      <c r="E54" s="4"/>
      <c r="F54" s="18" t="str">
        <f t="shared" si="5"/>
        <v>FOOD</v>
      </c>
      <c r="G54" s="18" t="s">
        <v>19</v>
      </c>
      <c r="H54" s="4" t="str">
        <f t="shared" si="3"/>
        <v>1/PACK</v>
      </c>
      <c r="I54" s="18">
        <v>1.0</v>
      </c>
      <c r="J54" s="4" t="s">
        <v>23</v>
      </c>
      <c r="K54" s="16">
        <v>170.0</v>
      </c>
      <c r="L54" s="16"/>
    </row>
    <row r="55" ht="15.75" customHeight="1">
      <c r="A55" s="17" t="s">
        <v>16</v>
      </c>
      <c r="C55" s="4" t="s">
        <v>126</v>
      </c>
      <c r="D55" s="4" t="s">
        <v>127</v>
      </c>
      <c r="E55" s="4"/>
      <c r="F55" s="18" t="str">
        <f t="shared" si="5"/>
        <v>FOOD</v>
      </c>
      <c r="G55" s="18" t="s">
        <v>19</v>
      </c>
      <c r="H55" s="4" t="str">
        <f t="shared" si="3"/>
        <v>1000/KG</v>
      </c>
      <c r="I55" s="4">
        <v>1000.0</v>
      </c>
      <c r="J55" s="3" t="s">
        <v>35</v>
      </c>
      <c r="K55" s="16">
        <v>200.0</v>
      </c>
      <c r="L55" s="16"/>
    </row>
    <row r="56" ht="15.75" customHeight="1">
      <c r="A56" s="17" t="s">
        <v>16</v>
      </c>
      <c r="C56" s="20" t="s">
        <v>128</v>
      </c>
      <c r="D56" s="4" t="s">
        <v>129</v>
      </c>
      <c r="E56" s="4"/>
      <c r="F56" s="18" t="str">
        <f t="shared" si="5"/>
        <v>FOOD</v>
      </c>
      <c r="G56" s="18" t="s">
        <v>19</v>
      </c>
      <c r="H56" s="4" t="str">
        <f t="shared" si="3"/>
        <v>1000/KG</v>
      </c>
      <c r="I56" s="18">
        <v>1000.0</v>
      </c>
      <c r="J56" s="3" t="s">
        <v>35</v>
      </c>
      <c r="K56" s="16">
        <v>217.53</v>
      </c>
      <c r="L56" s="16"/>
    </row>
    <row r="57" ht="15.75" customHeight="1">
      <c r="A57" s="17" t="s">
        <v>16</v>
      </c>
      <c r="C57" s="20" t="s">
        <v>130</v>
      </c>
      <c r="D57" s="20" t="s">
        <v>131</v>
      </c>
      <c r="E57" s="4"/>
      <c r="F57" s="18" t="str">
        <f t="shared" si="5"/>
        <v>FOOD</v>
      </c>
      <c r="G57" s="18" t="s">
        <v>19</v>
      </c>
      <c r="H57" s="4" t="str">
        <f t="shared" si="3"/>
        <v>1000/KG</v>
      </c>
      <c r="I57" s="4">
        <v>1000.0</v>
      </c>
      <c r="J57" s="3" t="s">
        <v>35</v>
      </c>
      <c r="K57" s="16">
        <v>157.99</v>
      </c>
      <c r="L57" s="16"/>
    </row>
    <row r="58" ht="15.75" customHeight="1">
      <c r="A58" s="17" t="s">
        <v>16</v>
      </c>
      <c r="C58" s="4" t="s">
        <v>132</v>
      </c>
      <c r="D58" s="3" t="s">
        <v>133</v>
      </c>
      <c r="E58" s="4"/>
      <c r="F58" s="18" t="str">
        <f t="shared" si="5"/>
        <v>FOOD</v>
      </c>
      <c r="G58" s="18" t="s">
        <v>19</v>
      </c>
      <c r="H58" s="4" t="str">
        <f t="shared" si="3"/>
        <v>3/pack</v>
      </c>
      <c r="I58" s="4">
        <v>3.0</v>
      </c>
      <c r="J58" s="4" t="s">
        <v>134</v>
      </c>
      <c r="K58" s="16">
        <v>15.299999999999999</v>
      </c>
      <c r="L58" s="16"/>
    </row>
    <row r="59" ht="15.75" customHeight="1">
      <c r="A59" s="17" t="s">
        <v>16</v>
      </c>
      <c r="C59" s="4" t="s">
        <v>135</v>
      </c>
      <c r="D59" s="4" t="s">
        <v>136</v>
      </c>
      <c r="E59" s="4"/>
      <c r="F59" s="18" t="str">
        <f t="shared" si="5"/>
        <v>FOOD</v>
      </c>
      <c r="G59" s="18" t="s">
        <v>19</v>
      </c>
      <c r="H59" s="4" t="str">
        <f t="shared" si="3"/>
        <v>10/WHOLE</v>
      </c>
      <c r="I59" s="4">
        <v>10.0</v>
      </c>
      <c r="J59" s="3" t="s">
        <v>57</v>
      </c>
      <c r="K59" s="16">
        <v>723.6</v>
      </c>
      <c r="L59" s="16"/>
    </row>
    <row r="60" ht="15.75" customHeight="1">
      <c r="A60" s="17" t="s">
        <v>16</v>
      </c>
      <c r="C60" s="4" t="s">
        <v>137</v>
      </c>
      <c r="D60" s="4" t="s">
        <v>138</v>
      </c>
      <c r="E60" s="4"/>
      <c r="F60" s="18" t="str">
        <f t="shared" si="5"/>
        <v>FOOD</v>
      </c>
      <c r="G60" s="18" t="s">
        <v>19</v>
      </c>
      <c r="H60" s="4" t="str">
        <f t="shared" si="3"/>
        <v>10/WHOLE</v>
      </c>
      <c r="I60" s="4">
        <v>10.0</v>
      </c>
      <c r="J60" s="3" t="s">
        <v>57</v>
      </c>
      <c r="K60" s="16">
        <v>716.5</v>
      </c>
      <c r="L60" s="16"/>
    </row>
    <row r="61" ht="15.75" customHeight="1">
      <c r="A61" s="17" t="s">
        <v>16</v>
      </c>
      <c r="C61" s="4" t="s">
        <v>139</v>
      </c>
      <c r="D61" s="4" t="s">
        <v>140</v>
      </c>
      <c r="E61" s="4"/>
      <c r="F61" s="18" t="str">
        <f t="shared" si="5"/>
        <v>FOOD</v>
      </c>
      <c r="G61" s="18" t="s">
        <v>19</v>
      </c>
      <c r="H61" s="4" t="str">
        <f t="shared" si="3"/>
        <v>1000/LIT</v>
      </c>
      <c r="I61" s="4">
        <v>1000.0</v>
      </c>
      <c r="J61" s="3" t="s">
        <v>20</v>
      </c>
      <c r="K61" s="16">
        <v>286.18</v>
      </c>
      <c r="L61" s="16"/>
    </row>
    <row r="62" ht="15.75" customHeight="1">
      <c r="A62" s="17" t="s">
        <v>16</v>
      </c>
      <c r="C62" s="20" t="s">
        <v>141</v>
      </c>
      <c r="D62" s="4" t="s">
        <v>142</v>
      </c>
      <c r="E62" s="4"/>
      <c r="F62" s="18" t="str">
        <f t="shared" si="5"/>
        <v>FOOD</v>
      </c>
      <c r="G62" s="18" t="s">
        <v>19</v>
      </c>
      <c r="H62" s="4" t="str">
        <f t="shared" si="3"/>
        <v>1000/KG</v>
      </c>
      <c r="I62" s="23">
        <v>1000.0</v>
      </c>
      <c r="J62" s="24" t="s">
        <v>35</v>
      </c>
      <c r="K62" s="16">
        <v>442.19</v>
      </c>
      <c r="L62" s="16"/>
    </row>
    <row r="63" ht="15.75" customHeight="1">
      <c r="A63" s="17" t="s">
        <v>16</v>
      </c>
      <c r="C63" s="4" t="s">
        <v>143</v>
      </c>
      <c r="D63" s="4" t="s">
        <v>144</v>
      </c>
      <c r="E63" s="4"/>
      <c r="F63" s="18" t="str">
        <f t="shared" si="5"/>
        <v>FOOD</v>
      </c>
      <c r="G63" s="18" t="s">
        <v>19</v>
      </c>
      <c r="H63" s="4" t="str">
        <f t="shared" si="3"/>
        <v>1/PC</v>
      </c>
      <c r="I63" s="4">
        <v>1.0</v>
      </c>
      <c r="J63" s="3" t="s">
        <v>42</v>
      </c>
      <c r="K63" s="16">
        <v>278.90000000000003</v>
      </c>
      <c r="L63" s="16"/>
    </row>
    <row r="64" ht="15.75" customHeight="1">
      <c r="A64" s="17" t="s">
        <v>16</v>
      </c>
      <c r="C64" s="20" t="s">
        <v>145</v>
      </c>
      <c r="D64" s="4" t="s">
        <v>146</v>
      </c>
      <c r="E64" s="4"/>
      <c r="F64" s="18" t="str">
        <f t="shared" si="5"/>
        <v>FOOD</v>
      </c>
      <c r="G64" s="18" t="s">
        <v>19</v>
      </c>
      <c r="H64" s="4" t="str">
        <f t="shared" si="3"/>
        <v>1200/KG</v>
      </c>
      <c r="I64" s="25">
        <v>1200.0</v>
      </c>
      <c r="J64" s="26" t="s">
        <v>35</v>
      </c>
      <c r="K64" s="16">
        <v>533.0</v>
      </c>
      <c r="L64" s="16"/>
    </row>
    <row r="65" ht="15.75" customHeight="1">
      <c r="A65" s="17" t="s">
        <v>16</v>
      </c>
      <c r="C65" s="4" t="s">
        <v>147</v>
      </c>
      <c r="D65" s="4" t="s">
        <v>148</v>
      </c>
      <c r="E65" s="4"/>
      <c r="F65" s="18" t="str">
        <f t="shared" si="5"/>
        <v>FOOD</v>
      </c>
      <c r="G65" s="18" t="s">
        <v>19</v>
      </c>
      <c r="H65" s="4" t="str">
        <f t="shared" si="3"/>
        <v>150/PACK</v>
      </c>
      <c r="I65" s="4">
        <v>150.0</v>
      </c>
      <c r="J65" s="3" t="s">
        <v>23</v>
      </c>
      <c r="K65" s="16">
        <v>287.1</v>
      </c>
      <c r="L65" s="16"/>
    </row>
    <row r="66" ht="15.75" customHeight="1">
      <c r="A66" s="17" t="s">
        <v>16</v>
      </c>
      <c r="C66" s="4" t="s">
        <v>149</v>
      </c>
      <c r="D66" s="4" t="s">
        <v>150</v>
      </c>
      <c r="E66" s="4"/>
      <c r="F66" s="18" t="s">
        <v>40</v>
      </c>
      <c r="G66" s="18" t="s">
        <v>41</v>
      </c>
      <c r="H66" s="4" t="str">
        <f t="shared" si="3"/>
        <v>1/PC</v>
      </c>
      <c r="I66" s="4">
        <v>1.0</v>
      </c>
      <c r="J66" s="3" t="s">
        <v>42</v>
      </c>
      <c r="K66" s="16">
        <v>32.34</v>
      </c>
      <c r="L66" s="16"/>
    </row>
    <row r="67" ht="15.75" customHeight="1">
      <c r="A67" s="17" t="s">
        <v>16</v>
      </c>
      <c r="C67" s="20" t="s">
        <v>151</v>
      </c>
      <c r="D67" s="21" t="s">
        <v>152</v>
      </c>
      <c r="E67" s="4"/>
      <c r="F67" s="18" t="s">
        <v>40</v>
      </c>
      <c r="G67" s="18" t="s">
        <v>41</v>
      </c>
      <c r="H67" s="4" t="str">
        <f t="shared" si="3"/>
        <v>100/PACK</v>
      </c>
      <c r="I67" s="4">
        <v>100.0</v>
      </c>
      <c r="J67" s="19" t="s">
        <v>23</v>
      </c>
      <c r="K67" s="16">
        <f>6.42*100</f>
        <v>642</v>
      </c>
      <c r="L67" s="16"/>
    </row>
    <row r="68" ht="15.75" customHeight="1">
      <c r="A68" s="17" t="s">
        <v>16</v>
      </c>
      <c r="C68" s="20" t="s">
        <v>153</v>
      </c>
      <c r="D68" s="4" t="s">
        <v>154</v>
      </c>
      <c r="E68" s="4"/>
      <c r="F68" s="18" t="s">
        <v>40</v>
      </c>
      <c r="G68" s="18" t="s">
        <v>41</v>
      </c>
      <c r="H68" s="4" t="str">
        <f t="shared" si="3"/>
        <v>1/PC</v>
      </c>
      <c r="I68" s="4">
        <v>1.0</v>
      </c>
      <c r="J68" s="3" t="s">
        <v>42</v>
      </c>
      <c r="K68" s="16">
        <v>6.66</v>
      </c>
      <c r="L68" s="16"/>
    </row>
    <row r="69" ht="15.75" customHeight="1">
      <c r="A69" s="17" t="s">
        <v>16</v>
      </c>
      <c r="C69" s="4" t="s">
        <v>155</v>
      </c>
      <c r="D69" s="4" t="s">
        <v>156</v>
      </c>
      <c r="E69" s="4"/>
      <c r="F69" s="18" t="s">
        <v>40</v>
      </c>
      <c r="G69" s="18" t="s">
        <v>41</v>
      </c>
      <c r="H69" s="4" t="str">
        <f t="shared" si="3"/>
        <v>1/PC</v>
      </c>
      <c r="I69" s="4">
        <v>1.0</v>
      </c>
      <c r="J69" s="3" t="s">
        <v>42</v>
      </c>
      <c r="K69" s="16">
        <v>25.72</v>
      </c>
      <c r="L69" s="16"/>
    </row>
    <row r="70" ht="15.75" customHeight="1">
      <c r="A70" s="17" t="s">
        <v>16</v>
      </c>
      <c r="C70" s="4" t="s">
        <v>157</v>
      </c>
      <c r="D70" s="4" t="s">
        <v>158</v>
      </c>
      <c r="E70" s="4"/>
      <c r="F70" s="18" t="s">
        <v>40</v>
      </c>
      <c r="G70" s="18" t="s">
        <v>41</v>
      </c>
      <c r="H70" s="4" t="str">
        <f t="shared" si="3"/>
        <v>1/PC</v>
      </c>
      <c r="I70" s="4">
        <v>1.0</v>
      </c>
      <c r="J70" s="3" t="s">
        <v>42</v>
      </c>
      <c r="K70" s="16">
        <v>11.01</v>
      </c>
      <c r="L70" s="16"/>
    </row>
    <row r="71" ht="15.75" customHeight="1">
      <c r="A71" s="17" t="s">
        <v>16</v>
      </c>
      <c r="C71" s="4" t="s">
        <v>159</v>
      </c>
      <c r="D71" s="4" t="s">
        <v>160</v>
      </c>
      <c r="E71" s="4"/>
      <c r="F71" s="18" t="s">
        <v>40</v>
      </c>
      <c r="G71" s="18" t="s">
        <v>41</v>
      </c>
      <c r="H71" s="4" t="str">
        <f t="shared" si="3"/>
        <v>1/PC</v>
      </c>
      <c r="I71" s="4">
        <v>1.0</v>
      </c>
      <c r="J71" s="3" t="s">
        <v>42</v>
      </c>
      <c r="K71" s="16">
        <v>8.39</v>
      </c>
      <c r="L71" s="16"/>
    </row>
    <row r="72" ht="15.75" customHeight="1">
      <c r="A72" s="17" t="s">
        <v>16</v>
      </c>
      <c r="C72" s="4" t="s">
        <v>161</v>
      </c>
      <c r="D72" s="4" t="s">
        <v>162</v>
      </c>
      <c r="E72" s="4"/>
      <c r="F72" s="18" t="str">
        <f t="shared" ref="F72:F78" si="6">G72</f>
        <v>FOOD</v>
      </c>
      <c r="G72" s="18" t="s">
        <v>19</v>
      </c>
      <c r="H72" s="4" t="str">
        <f t="shared" si="3"/>
        <v>1000/KG</v>
      </c>
      <c r="I72" s="4">
        <v>1000.0</v>
      </c>
      <c r="J72" s="3" t="s">
        <v>35</v>
      </c>
      <c r="K72" s="16">
        <v>27.83</v>
      </c>
      <c r="L72" s="16"/>
    </row>
    <row r="73" ht="15.75" customHeight="1">
      <c r="A73" s="17" t="s">
        <v>16</v>
      </c>
      <c r="C73" s="4" t="s">
        <v>163</v>
      </c>
      <c r="D73" s="4" t="s">
        <v>164</v>
      </c>
      <c r="E73" s="4"/>
      <c r="F73" s="18" t="str">
        <f t="shared" si="6"/>
        <v>FOOD</v>
      </c>
      <c r="G73" s="18" t="s">
        <v>19</v>
      </c>
      <c r="H73" s="4" t="str">
        <f t="shared" si="3"/>
        <v>500/KG</v>
      </c>
      <c r="I73" s="4">
        <v>500.0</v>
      </c>
      <c r="J73" s="3" t="s">
        <v>35</v>
      </c>
      <c r="K73" s="16">
        <v>58.17</v>
      </c>
      <c r="L73" s="16"/>
    </row>
    <row r="74" ht="15.75" customHeight="1">
      <c r="A74" s="17" t="s">
        <v>16</v>
      </c>
      <c r="C74" s="4" t="s">
        <v>165</v>
      </c>
      <c r="D74" s="4" t="s">
        <v>166</v>
      </c>
      <c r="E74" s="4"/>
      <c r="F74" s="18" t="str">
        <f t="shared" si="6"/>
        <v>FOOD</v>
      </c>
      <c r="G74" s="18" t="s">
        <v>19</v>
      </c>
      <c r="H74" s="4" t="str">
        <f t="shared" si="3"/>
        <v>1000/PACK</v>
      </c>
      <c r="I74" s="4">
        <v>1000.0</v>
      </c>
      <c r="J74" s="3" t="s">
        <v>23</v>
      </c>
      <c r="K74" s="16">
        <v>86.58</v>
      </c>
      <c r="L74" s="16"/>
    </row>
    <row r="75" ht="15.75" customHeight="1">
      <c r="A75" s="17" t="s">
        <v>16</v>
      </c>
      <c r="C75" s="4" t="s">
        <v>167</v>
      </c>
      <c r="D75" s="4" t="s">
        <v>168</v>
      </c>
      <c r="E75" s="4"/>
      <c r="F75" s="18" t="str">
        <f t="shared" si="6"/>
        <v>FOOD</v>
      </c>
      <c r="G75" s="18" t="s">
        <v>19</v>
      </c>
      <c r="H75" s="4" t="str">
        <f t="shared" si="3"/>
        <v>1000/KG</v>
      </c>
      <c r="I75" s="4">
        <v>1000.0</v>
      </c>
      <c r="J75" s="3" t="s">
        <v>35</v>
      </c>
      <c r="K75" s="16">
        <v>393.75</v>
      </c>
      <c r="L75" s="16"/>
    </row>
    <row r="76" ht="15.75" customHeight="1">
      <c r="A76" s="17" t="s">
        <v>16</v>
      </c>
      <c r="C76" s="4" t="s">
        <v>169</v>
      </c>
      <c r="D76" s="4" t="s">
        <v>170</v>
      </c>
      <c r="E76" s="4"/>
      <c r="F76" s="18" t="str">
        <f t="shared" si="6"/>
        <v>FOOD</v>
      </c>
      <c r="G76" s="18" t="s">
        <v>19</v>
      </c>
      <c r="H76" s="4" t="str">
        <f t="shared" si="3"/>
        <v>1/LOAF</v>
      </c>
      <c r="I76" s="4">
        <v>1.0</v>
      </c>
      <c r="J76" s="3" t="s">
        <v>171</v>
      </c>
      <c r="K76" s="16">
        <v>75.0</v>
      </c>
      <c r="L76" s="16"/>
    </row>
    <row r="77" ht="15.75" customHeight="1">
      <c r="A77" s="17" t="s">
        <v>16</v>
      </c>
      <c r="C77" s="4" t="s">
        <v>172</v>
      </c>
      <c r="D77" s="4" t="s">
        <v>173</v>
      </c>
      <c r="E77" s="4"/>
      <c r="F77" s="18" t="str">
        <f t="shared" si="6"/>
        <v>FOOD</v>
      </c>
      <c r="G77" s="18" t="s">
        <v>19</v>
      </c>
      <c r="H77" s="4" t="str">
        <f t="shared" si="3"/>
        <v>1/PC</v>
      </c>
      <c r="I77" s="4">
        <v>1.0</v>
      </c>
      <c r="J77" s="3" t="s">
        <v>42</v>
      </c>
      <c r="K77" s="16">
        <v>100.0</v>
      </c>
      <c r="L77" s="16"/>
    </row>
    <row r="78" ht="15.75" customHeight="1">
      <c r="A78" s="17" t="s">
        <v>16</v>
      </c>
      <c r="C78" s="4" t="s">
        <v>174</v>
      </c>
      <c r="D78" s="4" t="s">
        <v>175</v>
      </c>
      <c r="E78" s="4"/>
      <c r="F78" s="18" t="str">
        <f t="shared" si="6"/>
        <v>FOOD</v>
      </c>
      <c r="G78" s="18" t="s">
        <v>19</v>
      </c>
      <c r="H78" s="4" t="str">
        <f t="shared" si="3"/>
        <v>1/PC</v>
      </c>
      <c r="I78" s="4">
        <v>1.0</v>
      </c>
      <c r="J78" s="3" t="s">
        <v>42</v>
      </c>
      <c r="K78" s="16">
        <v>131.79999999999998</v>
      </c>
      <c r="L78" s="16"/>
    </row>
    <row r="79" ht="15.75" customHeight="1">
      <c r="A79" s="17" t="s">
        <v>16</v>
      </c>
      <c r="C79" s="20" t="s">
        <v>176</v>
      </c>
      <c r="D79" s="4" t="s">
        <v>177</v>
      </c>
      <c r="E79" s="4"/>
      <c r="F79" s="18" t="s">
        <v>178</v>
      </c>
      <c r="G79" s="18" t="s">
        <v>178</v>
      </c>
      <c r="H79" s="4" t="str">
        <f t="shared" si="3"/>
        <v>100/PC</v>
      </c>
      <c r="I79" s="18">
        <v>100.0</v>
      </c>
      <c r="J79" s="3" t="s">
        <v>42</v>
      </c>
      <c r="K79" s="16">
        <v>0.0</v>
      </c>
      <c r="L79" s="16"/>
    </row>
    <row r="80" ht="15.75" customHeight="1">
      <c r="A80" s="17" t="s">
        <v>16</v>
      </c>
      <c r="C80" s="4" t="s">
        <v>179</v>
      </c>
      <c r="D80" s="4" t="s">
        <v>180</v>
      </c>
      <c r="E80" s="4"/>
      <c r="F80" s="18" t="str">
        <f t="shared" ref="F80:F82" si="7">G80</f>
        <v>FOOD</v>
      </c>
      <c r="G80" s="18" t="s">
        <v>19</v>
      </c>
      <c r="H80" s="4" t="str">
        <f t="shared" si="3"/>
        <v>6/pack</v>
      </c>
      <c r="I80" s="4">
        <v>6.0</v>
      </c>
      <c r="J80" s="3" t="s">
        <v>134</v>
      </c>
      <c r="K80" s="27">
        <v>22.2</v>
      </c>
      <c r="L80" s="27"/>
    </row>
    <row r="81" ht="15.75" customHeight="1">
      <c r="A81" s="17" t="s">
        <v>16</v>
      </c>
      <c r="C81" s="4" t="s">
        <v>181</v>
      </c>
      <c r="D81" s="4" t="s">
        <v>182</v>
      </c>
      <c r="E81" s="4"/>
      <c r="F81" s="18" t="str">
        <f t="shared" si="7"/>
        <v>FOOD</v>
      </c>
      <c r="G81" s="18" t="s">
        <v>19</v>
      </c>
      <c r="H81" s="4" t="str">
        <f t="shared" si="3"/>
        <v>6/PACK</v>
      </c>
      <c r="I81" s="4">
        <v>6.0</v>
      </c>
      <c r="J81" s="3" t="s">
        <v>23</v>
      </c>
      <c r="K81" s="16">
        <v>65.89999999999999</v>
      </c>
      <c r="L81" s="16"/>
    </row>
    <row r="82" ht="15.75" customHeight="1">
      <c r="A82" s="17" t="s">
        <v>16</v>
      </c>
      <c r="C82" s="4" t="s">
        <v>183</v>
      </c>
      <c r="D82" s="4" t="s">
        <v>184</v>
      </c>
      <c r="E82" s="4"/>
      <c r="F82" s="18" t="str">
        <f t="shared" si="7"/>
        <v>FOOD</v>
      </c>
      <c r="G82" s="18" t="s">
        <v>19</v>
      </c>
      <c r="H82" s="4" t="str">
        <f t="shared" si="3"/>
        <v>8/Whole</v>
      </c>
      <c r="I82" s="4">
        <v>8.0</v>
      </c>
      <c r="J82" s="3" t="s">
        <v>110</v>
      </c>
      <c r="K82" s="16">
        <v>787.1</v>
      </c>
      <c r="L82" s="16"/>
    </row>
    <row r="83" ht="15.75" customHeight="1">
      <c r="A83" s="17" t="s">
        <v>16</v>
      </c>
      <c r="C83" s="20" t="s">
        <v>185</v>
      </c>
      <c r="D83" s="4" t="s">
        <v>186</v>
      </c>
      <c r="E83" s="4"/>
      <c r="F83" s="18" t="s">
        <v>40</v>
      </c>
      <c r="G83" s="18" t="s">
        <v>41</v>
      </c>
      <c r="H83" s="4" t="str">
        <f t="shared" si="3"/>
        <v>1/PC</v>
      </c>
      <c r="I83" s="18">
        <v>1.0</v>
      </c>
      <c r="J83" s="3" t="s">
        <v>42</v>
      </c>
      <c r="K83" s="16">
        <v>83.44</v>
      </c>
      <c r="L83" s="16"/>
    </row>
    <row r="84" ht="15.75" customHeight="1">
      <c r="A84" s="17" t="s">
        <v>16</v>
      </c>
      <c r="C84" s="4" t="s">
        <v>187</v>
      </c>
      <c r="D84" s="4" t="s">
        <v>188</v>
      </c>
      <c r="E84" s="4"/>
      <c r="F84" s="18" t="str">
        <f t="shared" ref="F84:F86" si="8">G84</f>
        <v>FOOD</v>
      </c>
      <c r="G84" s="18" t="s">
        <v>19</v>
      </c>
      <c r="H84" s="4" t="str">
        <f t="shared" si="3"/>
        <v>1000/KG</v>
      </c>
      <c r="I84" s="4">
        <v>1000.0</v>
      </c>
      <c r="J84" s="3" t="s">
        <v>35</v>
      </c>
      <c r="K84" s="16">
        <v>867.29</v>
      </c>
      <c r="L84" s="16"/>
    </row>
    <row r="85" ht="15.75" customHeight="1">
      <c r="A85" s="17" t="s">
        <v>16</v>
      </c>
      <c r="C85" s="4" t="s">
        <v>189</v>
      </c>
      <c r="D85" s="4" t="s">
        <v>190</v>
      </c>
      <c r="E85" s="4"/>
      <c r="F85" s="18" t="str">
        <f t="shared" si="8"/>
        <v>FOOD</v>
      </c>
      <c r="G85" s="18" t="s">
        <v>19</v>
      </c>
      <c r="H85" s="4" t="str">
        <f t="shared" si="3"/>
        <v>1/PC</v>
      </c>
      <c r="I85" s="4">
        <v>1.0</v>
      </c>
      <c r="J85" s="3" t="s">
        <v>42</v>
      </c>
      <c r="K85" s="16">
        <v>39.31</v>
      </c>
      <c r="L85" s="16"/>
    </row>
    <row r="86" ht="15.75" customHeight="1">
      <c r="A86" s="17" t="s">
        <v>16</v>
      </c>
      <c r="C86" s="20" t="s">
        <v>191</v>
      </c>
      <c r="D86" s="4" t="s">
        <v>192</v>
      </c>
      <c r="E86" s="4"/>
      <c r="F86" s="18" t="str">
        <f t="shared" si="8"/>
        <v>FOOD</v>
      </c>
      <c r="G86" s="18" t="s">
        <v>19</v>
      </c>
      <c r="H86" s="4" t="str">
        <f t="shared" si="3"/>
        <v>4/PACK</v>
      </c>
      <c r="I86" s="18">
        <v>4.0</v>
      </c>
      <c r="J86" s="3" t="s">
        <v>23</v>
      </c>
      <c r="K86" s="16">
        <v>174.2</v>
      </c>
      <c r="L86" s="16"/>
    </row>
    <row r="87" ht="15.75" customHeight="1">
      <c r="A87" s="17" t="s">
        <v>16</v>
      </c>
      <c r="C87" s="20" t="s">
        <v>193</v>
      </c>
      <c r="D87" s="4" t="s">
        <v>194</v>
      </c>
      <c r="E87" s="4"/>
      <c r="F87" s="18" t="s">
        <v>40</v>
      </c>
      <c r="G87" s="18" t="s">
        <v>41</v>
      </c>
      <c r="H87" s="4" t="str">
        <f t="shared" si="3"/>
        <v>50/PC(50)</v>
      </c>
      <c r="I87" s="18">
        <v>50.0</v>
      </c>
      <c r="J87" s="3" t="s">
        <v>195</v>
      </c>
      <c r="K87" s="16">
        <v>483.0</v>
      </c>
      <c r="L87" s="16"/>
    </row>
    <row r="88" ht="15.75" customHeight="1">
      <c r="A88" s="17" t="s">
        <v>16</v>
      </c>
      <c r="C88" s="4" t="s">
        <v>196</v>
      </c>
      <c r="D88" s="4" t="s">
        <v>197</v>
      </c>
      <c r="E88" s="4"/>
      <c r="F88" s="18" t="s">
        <v>40</v>
      </c>
      <c r="G88" s="18" t="s">
        <v>41</v>
      </c>
      <c r="H88" s="4" t="str">
        <f t="shared" si="3"/>
        <v>50/PC</v>
      </c>
      <c r="I88" s="4">
        <v>50.0</v>
      </c>
      <c r="J88" s="3" t="s">
        <v>42</v>
      </c>
      <c r="K88" s="16">
        <f>2.1*50</f>
        <v>105</v>
      </c>
      <c r="L88" s="16"/>
    </row>
    <row r="89" ht="15.75" customHeight="1">
      <c r="A89" s="17" t="s">
        <v>16</v>
      </c>
      <c r="C89" s="20" t="s">
        <v>198</v>
      </c>
      <c r="D89" s="4" t="s">
        <v>199</v>
      </c>
      <c r="E89" s="4"/>
      <c r="F89" s="18" t="s">
        <v>40</v>
      </c>
      <c r="G89" s="18" t="s">
        <v>41</v>
      </c>
      <c r="H89" s="4" t="str">
        <f t="shared" si="3"/>
        <v>50/PC(50)</v>
      </c>
      <c r="I89" s="25">
        <v>50.0</v>
      </c>
      <c r="J89" s="3" t="s">
        <v>195</v>
      </c>
      <c r="K89" s="16">
        <v>500.63</v>
      </c>
      <c r="L89" s="16"/>
    </row>
    <row r="90" ht="15.75" customHeight="1">
      <c r="A90" s="17" t="s">
        <v>16</v>
      </c>
      <c r="C90" s="4" t="s">
        <v>200</v>
      </c>
      <c r="D90" s="4" t="s">
        <v>201</v>
      </c>
      <c r="E90" s="4"/>
      <c r="F90" s="18" t="s">
        <v>40</v>
      </c>
      <c r="G90" s="18" t="s">
        <v>41</v>
      </c>
      <c r="H90" s="4" t="str">
        <f t="shared" si="3"/>
        <v>50/PC</v>
      </c>
      <c r="I90" s="4">
        <v>50.0</v>
      </c>
      <c r="J90" s="3" t="s">
        <v>42</v>
      </c>
      <c r="K90" s="16">
        <v>1.79</v>
      </c>
      <c r="L90" s="16"/>
    </row>
    <row r="91" ht="15.75" customHeight="1">
      <c r="A91" s="17" t="s">
        <v>16</v>
      </c>
      <c r="C91" s="20" t="s">
        <v>202</v>
      </c>
      <c r="D91" s="4" t="s">
        <v>203</v>
      </c>
      <c r="E91" s="4"/>
      <c r="F91" s="18" t="s">
        <v>40</v>
      </c>
      <c r="G91" s="18" t="s">
        <v>41</v>
      </c>
      <c r="H91" s="4" t="str">
        <f t="shared" si="3"/>
        <v>1/PC</v>
      </c>
      <c r="I91" s="4">
        <v>1.0</v>
      </c>
      <c r="J91" s="3" t="s">
        <v>42</v>
      </c>
      <c r="K91" s="16">
        <v>13.92</v>
      </c>
      <c r="L91" s="16"/>
    </row>
    <row r="92" ht="15.75" customHeight="1">
      <c r="A92" s="17" t="s">
        <v>16</v>
      </c>
      <c r="C92" s="4" t="s">
        <v>204</v>
      </c>
      <c r="D92" s="4" t="s">
        <v>205</v>
      </c>
      <c r="E92" s="4"/>
      <c r="F92" s="18" t="s">
        <v>40</v>
      </c>
      <c r="G92" s="18" t="s">
        <v>41</v>
      </c>
      <c r="H92" s="4" t="str">
        <f t="shared" si="3"/>
        <v>1/PC</v>
      </c>
      <c r="I92" s="4">
        <v>1.0</v>
      </c>
      <c r="J92" s="3" t="s">
        <v>42</v>
      </c>
      <c r="K92" s="16">
        <v>4.22</v>
      </c>
      <c r="L92" s="16"/>
    </row>
    <row r="93" ht="15.75" customHeight="1">
      <c r="A93" s="17" t="s">
        <v>16</v>
      </c>
      <c r="C93" s="4" t="s">
        <v>206</v>
      </c>
      <c r="D93" s="4" t="s">
        <v>207</v>
      </c>
      <c r="E93" s="4"/>
      <c r="F93" s="18" t="s">
        <v>40</v>
      </c>
      <c r="G93" s="18" t="s">
        <v>41</v>
      </c>
      <c r="H93" s="4" t="str">
        <f t="shared" si="3"/>
        <v>1/PC</v>
      </c>
      <c r="I93" s="4">
        <v>1.0</v>
      </c>
      <c r="J93" s="3" t="s">
        <v>42</v>
      </c>
      <c r="K93" s="16">
        <v>8.01</v>
      </c>
      <c r="L93" s="16"/>
    </row>
    <row r="94" ht="15.75" customHeight="1">
      <c r="A94" s="17" t="s">
        <v>16</v>
      </c>
      <c r="C94" s="20" t="s">
        <v>208</v>
      </c>
      <c r="D94" s="4" t="s">
        <v>209</v>
      </c>
      <c r="E94" s="4"/>
      <c r="F94" s="18" t="s">
        <v>40</v>
      </c>
      <c r="G94" s="18" t="s">
        <v>41</v>
      </c>
      <c r="H94" s="4" t="str">
        <f t="shared" si="3"/>
        <v>1/PC</v>
      </c>
      <c r="I94" s="4">
        <v>1.0</v>
      </c>
      <c r="J94" s="3" t="s">
        <v>42</v>
      </c>
      <c r="K94" s="16">
        <v>7.68</v>
      </c>
      <c r="L94" s="16"/>
    </row>
    <row r="95" ht="15.75" customHeight="1">
      <c r="A95" s="17" t="s">
        <v>16</v>
      </c>
      <c r="C95" s="4" t="s">
        <v>210</v>
      </c>
      <c r="D95" s="4" t="s">
        <v>211</v>
      </c>
      <c r="E95" s="4"/>
      <c r="F95" s="18" t="str">
        <f t="shared" ref="F95:F96" si="9">G95</f>
        <v>FOOD</v>
      </c>
      <c r="G95" s="18" t="s">
        <v>19</v>
      </c>
      <c r="H95" s="4" t="str">
        <f t="shared" si="3"/>
        <v>8/WHOLE</v>
      </c>
      <c r="I95" s="4">
        <v>8.0</v>
      </c>
      <c r="J95" s="3" t="s">
        <v>57</v>
      </c>
      <c r="K95" s="16">
        <v>333.0</v>
      </c>
      <c r="L95" s="16"/>
    </row>
    <row r="96" ht="15.75" customHeight="1">
      <c r="A96" s="17" t="s">
        <v>16</v>
      </c>
      <c r="C96" s="20" t="s">
        <v>212</v>
      </c>
      <c r="D96" s="4" t="s">
        <v>213</v>
      </c>
      <c r="E96" s="4"/>
      <c r="F96" s="18" t="str">
        <f t="shared" si="9"/>
        <v>FOOD</v>
      </c>
      <c r="G96" s="18" t="s">
        <v>19</v>
      </c>
      <c r="H96" s="4" t="str">
        <f t="shared" si="3"/>
        <v>500/PACK</v>
      </c>
      <c r="I96" s="4">
        <v>500.0</v>
      </c>
      <c r="J96" s="3" t="s">
        <v>23</v>
      </c>
      <c r="K96" s="16">
        <v>156.5</v>
      </c>
      <c r="L96" s="16"/>
    </row>
    <row r="97" ht="15.75" customHeight="1">
      <c r="A97" s="17" t="s">
        <v>16</v>
      </c>
      <c r="C97" s="4" t="s">
        <v>214</v>
      </c>
      <c r="D97" s="4" t="s">
        <v>215</v>
      </c>
      <c r="E97" s="4"/>
      <c r="F97" s="18" t="s">
        <v>40</v>
      </c>
      <c r="G97" s="18" t="s">
        <v>41</v>
      </c>
      <c r="H97" s="4" t="str">
        <f t="shared" si="3"/>
        <v>1/PC</v>
      </c>
      <c r="I97" s="4">
        <v>1.0</v>
      </c>
      <c r="J97" s="3" t="s">
        <v>42</v>
      </c>
      <c r="K97" s="16">
        <v>1.23</v>
      </c>
      <c r="L97" s="16"/>
    </row>
    <row r="98" ht="15.75" customHeight="1">
      <c r="A98" s="17" t="s">
        <v>16</v>
      </c>
      <c r="C98" s="20" t="s">
        <v>214</v>
      </c>
      <c r="D98" s="4" t="s">
        <v>216</v>
      </c>
      <c r="E98" s="4"/>
      <c r="F98" s="18" t="s">
        <v>40</v>
      </c>
      <c r="G98" s="18" t="s">
        <v>41</v>
      </c>
      <c r="H98" s="4" t="str">
        <f t="shared" si="3"/>
        <v>10/PACK(10)</v>
      </c>
      <c r="I98" s="18">
        <v>10.0</v>
      </c>
      <c r="J98" s="3" t="s">
        <v>217</v>
      </c>
      <c r="K98" s="16">
        <v>29.54</v>
      </c>
      <c r="L98" s="16"/>
    </row>
    <row r="99" ht="15.75" customHeight="1">
      <c r="A99" s="17" t="s">
        <v>16</v>
      </c>
      <c r="C99" s="4" t="s">
        <v>218</v>
      </c>
      <c r="D99" s="4" t="s">
        <v>219</v>
      </c>
      <c r="E99" s="4"/>
      <c r="F99" s="18" t="s">
        <v>40</v>
      </c>
      <c r="G99" s="18" t="s">
        <v>41</v>
      </c>
      <c r="H99" s="4" t="str">
        <f t="shared" si="3"/>
        <v>1/PC</v>
      </c>
      <c r="I99" s="4">
        <v>1.0</v>
      </c>
      <c r="J99" s="3" t="s">
        <v>42</v>
      </c>
      <c r="K99" s="16">
        <v>0.61</v>
      </c>
      <c r="L99" s="16"/>
    </row>
    <row r="100" ht="15.75" customHeight="1">
      <c r="A100" s="17" t="s">
        <v>16</v>
      </c>
      <c r="C100" s="20" t="s">
        <v>218</v>
      </c>
      <c r="D100" s="4" t="s">
        <v>220</v>
      </c>
      <c r="E100" s="4"/>
      <c r="F100" s="18" t="s">
        <v>40</v>
      </c>
      <c r="G100" s="18" t="s">
        <v>41</v>
      </c>
      <c r="H100" s="4" t="str">
        <f t="shared" si="3"/>
        <v>24/PACK(24)</v>
      </c>
      <c r="I100" s="18">
        <v>24.0</v>
      </c>
      <c r="J100" s="3" t="s">
        <v>221</v>
      </c>
      <c r="K100" s="16">
        <v>21.09</v>
      </c>
      <c r="L100" s="16"/>
    </row>
    <row r="101" ht="15.75" customHeight="1">
      <c r="A101" s="17" t="s">
        <v>16</v>
      </c>
      <c r="C101" s="4" t="s">
        <v>222</v>
      </c>
      <c r="D101" s="4" t="s">
        <v>223</v>
      </c>
      <c r="E101" s="4"/>
      <c r="F101" s="18" t="str">
        <f t="shared" ref="F101:F155" si="10">G101</f>
        <v>FOOD</v>
      </c>
      <c r="G101" s="18" t="s">
        <v>19</v>
      </c>
      <c r="H101" s="4" t="str">
        <f t="shared" si="3"/>
        <v>1000/KG</v>
      </c>
      <c r="I101" s="4">
        <v>1000.0</v>
      </c>
      <c r="J101" s="3" t="s">
        <v>35</v>
      </c>
      <c r="K101" s="16">
        <v>338.54</v>
      </c>
      <c r="L101" s="16"/>
    </row>
    <row r="102" ht="15.75" customHeight="1">
      <c r="A102" s="17" t="s">
        <v>16</v>
      </c>
      <c r="C102" s="4" t="s">
        <v>224</v>
      </c>
      <c r="D102" s="4" t="s">
        <v>225</v>
      </c>
      <c r="E102" s="4"/>
      <c r="F102" s="18" t="str">
        <f t="shared" si="10"/>
        <v>FOOD</v>
      </c>
      <c r="G102" s="18" t="s">
        <v>19</v>
      </c>
      <c r="H102" s="4" t="str">
        <f t="shared" si="3"/>
        <v>200/PACK</v>
      </c>
      <c r="I102" s="4">
        <v>200.0</v>
      </c>
      <c r="J102" s="3" t="s">
        <v>23</v>
      </c>
      <c r="K102" s="16">
        <v>51.76</v>
      </c>
      <c r="L102" s="16"/>
    </row>
    <row r="103" ht="15.75" customHeight="1">
      <c r="A103" s="17" t="s">
        <v>16</v>
      </c>
      <c r="C103" s="4" t="s">
        <v>226</v>
      </c>
      <c r="D103" s="4" t="s">
        <v>227</v>
      </c>
      <c r="E103" s="4"/>
      <c r="F103" s="18" t="str">
        <f t="shared" si="10"/>
        <v>FOOD</v>
      </c>
      <c r="G103" s="18" t="s">
        <v>19</v>
      </c>
      <c r="H103" s="4" t="str">
        <f t="shared" si="3"/>
        <v>300/PACK</v>
      </c>
      <c r="I103" s="4">
        <v>300.0</v>
      </c>
      <c r="J103" s="3" t="s">
        <v>23</v>
      </c>
      <c r="K103" s="16">
        <v>113.0</v>
      </c>
      <c r="L103" s="16"/>
    </row>
    <row r="104" ht="15.75" customHeight="1">
      <c r="A104" s="17" t="s">
        <v>16</v>
      </c>
      <c r="C104" s="4" t="s">
        <v>228</v>
      </c>
      <c r="D104" s="4" t="s">
        <v>229</v>
      </c>
      <c r="E104" s="4"/>
      <c r="F104" s="18" t="str">
        <f t="shared" si="10"/>
        <v>FOOD</v>
      </c>
      <c r="G104" s="18" t="s">
        <v>19</v>
      </c>
      <c r="H104" s="4" t="str">
        <f t="shared" si="3"/>
        <v>7/LOAF</v>
      </c>
      <c r="I104" s="4">
        <v>7.0</v>
      </c>
      <c r="J104" s="3" t="s">
        <v>171</v>
      </c>
      <c r="K104" s="16">
        <v>252.49</v>
      </c>
      <c r="L104" s="16"/>
    </row>
    <row r="105" ht="15.75" customHeight="1">
      <c r="A105" s="17" t="s">
        <v>16</v>
      </c>
      <c r="C105" s="20" t="s">
        <v>230</v>
      </c>
      <c r="D105" s="4" t="s">
        <v>231</v>
      </c>
      <c r="E105" s="4"/>
      <c r="F105" s="18" t="str">
        <f t="shared" si="10"/>
        <v>FOOD</v>
      </c>
      <c r="G105" s="18" t="s">
        <v>19</v>
      </c>
      <c r="H105" s="4" t="str">
        <f t="shared" si="3"/>
        <v>14/LOAF</v>
      </c>
      <c r="I105" s="18">
        <v>14.0</v>
      </c>
      <c r="J105" s="3" t="s">
        <v>171</v>
      </c>
      <c r="K105" s="16">
        <v>585.9</v>
      </c>
      <c r="L105" s="16"/>
    </row>
    <row r="106" ht="15.75" customHeight="1">
      <c r="A106" s="17" t="s">
        <v>16</v>
      </c>
      <c r="C106" s="20" t="s">
        <v>232</v>
      </c>
      <c r="D106" s="4" t="s">
        <v>233</v>
      </c>
      <c r="E106" s="4"/>
      <c r="F106" s="18" t="str">
        <f t="shared" si="10"/>
        <v>FOOD</v>
      </c>
      <c r="G106" s="18" t="s">
        <v>19</v>
      </c>
      <c r="H106" s="4" t="str">
        <f t="shared" si="3"/>
        <v>5/LOAF</v>
      </c>
      <c r="I106" s="18">
        <v>5.0</v>
      </c>
      <c r="J106" s="19" t="s">
        <v>171</v>
      </c>
      <c r="K106" s="16">
        <v>234.2</v>
      </c>
      <c r="L106" s="16"/>
    </row>
    <row r="107" ht="15.75" customHeight="1">
      <c r="A107" s="17" t="s">
        <v>16</v>
      </c>
      <c r="C107" s="20" t="s">
        <v>234</v>
      </c>
      <c r="D107" s="3" t="s">
        <v>235</v>
      </c>
      <c r="E107" s="4"/>
      <c r="F107" s="18" t="str">
        <f t="shared" si="10"/>
        <v>FOOD</v>
      </c>
      <c r="G107" s="18" t="s">
        <v>19</v>
      </c>
      <c r="H107" s="4" t="str">
        <f t="shared" si="3"/>
        <v>1000/KG</v>
      </c>
      <c r="I107" s="4">
        <v>1000.0</v>
      </c>
      <c r="J107" s="19" t="s">
        <v>35</v>
      </c>
      <c r="K107" s="16">
        <v>282.45</v>
      </c>
      <c r="L107" s="16"/>
    </row>
    <row r="108" ht="15.75" customHeight="1">
      <c r="A108" s="17" t="s">
        <v>16</v>
      </c>
      <c r="C108" s="4" t="s">
        <v>236</v>
      </c>
      <c r="D108" s="4" t="s">
        <v>237</v>
      </c>
      <c r="E108" s="4"/>
      <c r="F108" s="18" t="str">
        <f t="shared" si="10"/>
        <v>FOOD</v>
      </c>
      <c r="G108" s="18" t="s">
        <v>19</v>
      </c>
      <c r="H108" s="4" t="str">
        <f t="shared" si="3"/>
        <v>6/PACK</v>
      </c>
      <c r="I108" s="4">
        <v>6.0</v>
      </c>
      <c r="J108" s="3" t="s">
        <v>23</v>
      </c>
      <c r="K108" s="16">
        <v>65.89999999999999</v>
      </c>
      <c r="L108" s="16"/>
    </row>
    <row r="109" ht="15.75" customHeight="1">
      <c r="A109" s="17" t="s">
        <v>16</v>
      </c>
      <c r="C109" s="20" t="s">
        <v>238</v>
      </c>
      <c r="D109" s="4" t="s">
        <v>239</v>
      </c>
      <c r="E109" s="4"/>
      <c r="F109" s="18" t="str">
        <f t="shared" si="10"/>
        <v>FOOD</v>
      </c>
      <c r="G109" s="18" t="s">
        <v>19</v>
      </c>
      <c r="H109" s="4" t="str">
        <f t="shared" si="3"/>
        <v>1000/KG</v>
      </c>
      <c r="I109" s="4">
        <v>1000.0</v>
      </c>
      <c r="J109" s="3" t="s">
        <v>35</v>
      </c>
      <c r="K109" s="16">
        <v>562.5</v>
      </c>
      <c r="L109" s="16"/>
    </row>
    <row r="110" ht="15.75" customHeight="1">
      <c r="A110" s="17" t="s">
        <v>16</v>
      </c>
      <c r="C110" s="4" t="s">
        <v>240</v>
      </c>
      <c r="D110" s="4" t="s">
        <v>241</v>
      </c>
      <c r="E110" s="4"/>
      <c r="F110" s="18" t="str">
        <f t="shared" si="10"/>
        <v>FOOD</v>
      </c>
      <c r="G110" s="18" t="s">
        <v>19</v>
      </c>
      <c r="H110" s="4" t="str">
        <f t="shared" si="3"/>
        <v>1000/KG</v>
      </c>
      <c r="I110" s="4">
        <v>1000.0</v>
      </c>
      <c r="J110" s="3" t="s">
        <v>35</v>
      </c>
      <c r="K110" s="16">
        <v>157.5</v>
      </c>
      <c r="L110" s="16"/>
    </row>
    <row r="111" ht="15.75" customHeight="1">
      <c r="A111" s="17" t="s">
        <v>16</v>
      </c>
      <c r="C111" s="4" t="s">
        <v>242</v>
      </c>
      <c r="D111" s="4" t="s">
        <v>243</v>
      </c>
      <c r="E111" s="4"/>
      <c r="F111" s="18" t="str">
        <f t="shared" si="10"/>
        <v>FOOD</v>
      </c>
      <c r="G111" s="18" t="s">
        <v>19</v>
      </c>
      <c r="H111" s="4" t="str">
        <f t="shared" si="3"/>
        <v>1000/KG</v>
      </c>
      <c r="I111" s="4">
        <v>1000.0</v>
      </c>
      <c r="J111" s="3" t="s">
        <v>35</v>
      </c>
      <c r="K111" s="16">
        <v>2990.62</v>
      </c>
      <c r="L111" s="16"/>
    </row>
    <row r="112" ht="15.75" customHeight="1">
      <c r="A112" s="17" t="s">
        <v>16</v>
      </c>
      <c r="C112" s="20" t="s">
        <v>244</v>
      </c>
      <c r="D112" s="4" t="s">
        <v>245</v>
      </c>
      <c r="E112" s="4"/>
      <c r="F112" s="18" t="str">
        <f t="shared" si="10"/>
        <v>FOOD</v>
      </c>
      <c r="G112" s="18" t="s">
        <v>19</v>
      </c>
      <c r="H112" s="4" t="str">
        <f t="shared" si="3"/>
        <v>1000/KG</v>
      </c>
      <c r="I112" s="4">
        <v>1000.0</v>
      </c>
      <c r="J112" s="3" t="s">
        <v>35</v>
      </c>
      <c r="K112" s="16">
        <v>420.0</v>
      </c>
      <c r="L112" s="16"/>
    </row>
    <row r="113" ht="15.75" customHeight="1">
      <c r="A113" s="17" t="s">
        <v>16</v>
      </c>
      <c r="C113" s="4" t="s">
        <v>246</v>
      </c>
      <c r="D113" s="4" t="s">
        <v>247</v>
      </c>
      <c r="E113" s="4"/>
      <c r="F113" s="18" t="str">
        <f t="shared" si="10"/>
        <v>FOOD</v>
      </c>
      <c r="G113" s="18" t="s">
        <v>19</v>
      </c>
      <c r="H113" s="4" t="str">
        <f t="shared" si="3"/>
        <v>1000/KG</v>
      </c>
      <c r="I113" s="4">
        <v>1000.0</v>
      </c>
      <c r="J113" s="3" t="s">
        <v>35</v>
      </c>
      <c r="K113" s="16">
        <v>444.42</v>
      </c>
      <c r="L113" s="16"/>
    </row>
    <row r="114" ht="15.75" customHeight="1">
      <c r="A114" s="17" t="s">
        <v>16</v>
      </c>
      <c r="C114" s="4" t="s">
        <v>248</v>
      </c>
      <c r="D114" s="4" t="s">
        <v>249</v>
      </c>
      <c r="E114" s="4"/>
      <c r="F114" s="18" t="str">
        <f t="shared" si="10"/>
        <v>FOOD</v>
      </c>
      <c r="G114" s="18" t="s">
        <v>19</v>
      </c>
      <c r="H114" s="4" t="str">
        <f t="shared" si="3"/>
        <v>1000/KG</v>
      </c>
      <c r="I114" s="4">
        <v>1000.0</v>
      </c>
      <c r="J114" s="3" t="s">
        <v>35</v>
      </c>
      <c r="K114" s="16">
        <v>650.48</v>
      </c>
      <c r="L114" s="16"/>
    </row>
    <row r="115" ht="15.75" customHeight="1">
      <c r="A115" s="17" t="s">
        <v>16</v>
      </c>
      <c r="C115" s="4" t="s">
        <v>250</v>
      </c>
      <c r="D115" s="4" t="s">
        <v>251</v>
      </c>
      <c r="E115" s="4"/>
      <c r="F115" s="18" t="str">
        <f t="shared" si="10"/>
        <v>FOOD</v>
      </c>
      <c r="G115" s="18" t="s">
        <v>19</v>
      </c>
      <c r="H115" s="4" t="str">
        <f t="shared" si="3"/>
        <v>1000/KG</v>
      </c>
      <c r="I115" s="4">
        <v>1000.0</v>
      </c>
      <c r="J115" s="3" t="s">
        <v>35</v>
      </c>
      <c r="K115" s="16">
        <v>645.28</v>
      </c>
      <c r="L115" s="16"/>
    </row>
    <row r="116" ht="15.75" customHeight="1">
      <c r="A116" s="17" t="s">
        <v>16</v>
      </c>
      <c r="C116" s="4" t="s">
        <v>252</v>
      </c>
      <c r="D116" s="4" t="s">
        <v>253</v>
      </c>
      <c r="E116" s="4"/>
      <c r="F116" s="18" t="str">
        <f t="shared" si="10"/>
        <v>FOOD</v>
      </c>
      <c r="G116" s="18" t="s">
        <v>19</v>
      </c>
      <c r="H116" s="4" t="str">
        <f t="shared" si="3"/>
        <v>1000/KG</v>
      </c>
      <c r="I116" s="4">
        <v>1000.0</v>
      </c>
      <c r="J116" s="3" t="s">
        <v>35</v>
      </c>
      <c r="K116" s="16">
        <v>388.78</v>
      </c>
      <c r="L116" s="16"/>
    </row>
    <row r="117" ht="15.75" customHeight="1">
      <c r="A117" s="17" t="s">
        <v>16</v>
      </c>
      <c r="C117" s="4" t="s">
        <v>254</v>
      </c>
      <c r="D117" s="4" t="s">
        <v>255</v>
      </c>
      <c r="E117" s="4"/>
      <c r="F117" s="18" t="str">
        <f t="shared" si="10"/>
        <v>FOOD</v>
      </c>
      <c r="G117" s="18" t="s">
        <v>19</v>
      </c>
      <c r="H117" s="4" t="str">
        <f t="shared" si="3"/>
        <v>1000/KG</v>
      </c>
      <c r="I117" s="4">
        <v>1000.0</v>
      </c>
      <c r="J117" s="3" t="s">
        <v>35</v>
      </c>
      <c r="K117" s="16">
        <v>425.1</v>
      </c>
      <c r="L117" s="16"/>
    </row>
    <row r="118" ht="15.75" customHeight="1">
      <c r="A118" s="17" t="s">
        <v>16</v>
      </c>
      <c r="C118" s="20" t="s">
        <v>256</v>
      </c>
      <c r="D118" s="20" t="s">
        <v>257</v>
      </c>
      <c r="E118" s="4"/>
      <c r="F118" s="18" t="str">
        <f t="shared" si="10"/>
        <v>FOOD</v>
      </c>
      <c r="G118" s="18" t="s">
        <v>19</v>
      </c>
      <c r="H118" s="4" t="str">
        <f t="shared" si="3"/>
        <v>1000/KG</v>
      </c>
      <c r="I118" s="4">
        <v>1000.0</v>
      </c>
      <c r="J118" s="3" t="s">
        <v>35</v>
      </c>
      <c r="K118" s="16">
        <v>731.25</v>
      </c>
      <c r="L118" s="16"/>
    </row>
    <row r="119" ht="15.75" customHeight="1">
      <c r="A119" s="17" t="s">
        <v>16</v>
      </c>
      <c r="C119" s="20" t="s">
        <v>258</v>
      </c>
      <c r="D119" s="20" t="s">
        <v>259</v>
      </c>
      <c r="E119" s="4"/>
      <c r="F119" s="18" t="str">
        <f t="shared" si="10"/>
        <v>FOOD</v>
      </c>
      <c r="G119" s="18" t="s">
        <v>19</v>
      </c>
      <c r="H119" s="4" t="str">
        <f t="shared" si="3"/>
        <v>1000/KG</v>
      </c>
      <c r="I119" s="4">
        <v>1000.0</v>
      </c>
      <c r="J119" s="3" t="s">
        <v>35</v>
      </c>
      <c r="K119" s="16">
        <v>853.2344076049153</v>
      </c>
      <c r="L119" s="16"/>
    </row>
    <row r="120" ht="15.75" customHeight="1">
      <c r="A120" s="17" t="s">
        <v>16</v>
      </c>
      <c r="C120" s="4" t="s">
        <v>260</v>
      </c>
      <c r="D120" s="4" t="s">
        <v>261</v>
      </c>
      <c r="E120" s="4"/>
      <c r="F120" s="18" t="str">
        <f t="shared" si="10"/>
        <v>FOOD</v>
      </c>
      <c r="G120" s="18" t="s">
        <v>19</v>
      </c>
      <c r="H120" s="4" t="str">
        <f t="shared" si="3"/>
        <v>8/PACK</v>
      </c>
      <c r="I120" s="4">
        <v>8.0</v>
      </c>
      <c r="J120" s="3" t="s">
        <v>23</v>
      </c>
      <c r="K120" s="16">
        <v>169.5</v>
      </c>
      <c r="L120" s="16"/>
    </row>
    <row r="121" ht="15.75" customHeight="1">
      <c r="A121" s="17" t="s">
        <v>16</v>
      </c>
      <c r="C121" s="4" t="s">
        <v>262</v>
      </c>
      <c r="D121" s="4" t="s">
        <v>263</v>
      </c>
      <c r="E121" s="4"/>
      <c r="F121" s="18" t="str">
        <f t="shared" si="10"/>
        <v>FOOD</v>
      </c>
      <c r="G121" s="18" t="s">
        <v>19</v>
      </c>
      <c r="H121" s="4" t="str">
        <f t="shared" si="3"/>
        <v>30/TUB</v>
      </c>
      <c r="I121" s="4">
        <v>30.0</v>
      </c>
      <c r="J121" s="3" t="s">
        <v>264</v>
      </c>
      <c r="K121" s="16">
        <v>308.3</v>
      </c>
      <c r="L121" s="16"/>
    </row>
    <row r="122" ht="15.75" customHeight="1">
      <c r="A122" s="17" t="s">
        <v>16</v>
      </c>
      <c r="C122" s="20" t="s">
        <v>265</v>
      </c>
      <c r="D122" s="4" t="s">
        <v>266</v>
      </c>
      <c r="E122" s="4"/>
      <c r="F122" s="18" t="str">
        <f t="shared" si="10"/>
        <v>FOOD</v>
      </c>
      <c r="G122" s="18" t="s">
        <v>19</v>
      </c>
      <c r="H122" s="4" t="str">
        <f t="shared" si="3"/>
        <v>8/PACK</v>
      </c>
      <c r="I122" s="18">
        <v>8.0</v>
      </c>
      <c r="J122" s="3" t="s">
        <v>23</v>
      </c>
      <c r="K122" s="16">
        <v>182.93</v>
      </c>
      <c r="L122" s="16"/>
    </row>
    <row r="123" ht="15.75" customHeight="1">
      <c r="A123" s="17" t="s">
        <v>16</v>
      </c>
      <c r="C123" s="4" t="s">
        <v>267</v>
      </c>
      <c r="D123" s="4" t="s">
        <v>268</v>
      </c>
      <c r="E123" s="4"/>
      <c r="F123" s="18" t="str">
        <f t="shared" si="10"/>
        <v>FOOD</v>
      </c>
      <c r="G123" s="18" t="s">
        <v>19</v>
      </c>
      <c r="H123" s="4" t="str">
        <f t="shared" si="3"/>
        <v>1000/KG</v>
      </c>
      <c r="I123" s="4">
        <v>1000.0</v>
      </c>
      <c r="J123" s="3" t="s">
        <v>35</v>
      </c>
      <c r="K123" s="16">
        <v>1398.81</v>
      </c>
      <c r="L123" s="16"/>
    </row>
    <row r="124" ht="15.75" customHeight="1">
      <c r="A124" s="17" t="s">
        <v>16</v>
      </c>
      <c r="C124" s="4" t="s">
        <v>269</v>
      </c>
      <c r="D124" s="4" t="s">
        <v>270</v>
      </c>
      <c r="E124" s="4"/>
      <c r="F124" s="18" t="str">
        <f t="shared" si="10"/>
        <v>FOOD</v>
      </c>
      <c r="G124" s="18" t="s">
        <v>19</v>
      </c>
      <c r="H124" s="4" t="str">
        <f t="shared" si="3"/>
        <v>1000/KG</v>
      </c>
      <c r="I124" s="4">
        <v>1000.0</v>
      </c>
      <c r="J124" s="3" t="s">
        <v>35</v>
      </c>
      <c r="K124" s="16">
        <v>173.44</v>
      </c>
      <c r="L124" s="16"/>
    </row>
    <row r="125" ht="15.75" customHeight="1">
      <c r="A125" s="17" t="s">
        <v>16</v>
      </c>
      <c r="C125" s="4" t="s">
        <v>271</v>
      </c>
      <c r="D125" s="4" t="s">
        <v>272</v>
      </c>
      <c r="E125" s="4"/>
      <c r="F125" s="18" t="str">
        <f t="shared" si="10"/>
        <v>FOOD</v>
      </c>
      <c r="G125" s="18" t="s">
        <v>19</v>
      </c>
      <c r="H125" s="4" t="str">
        <f t="shared" si="3"/>
        <v>1000/KG</v>
      </c>
      <c r="I125" s="4">
        <v>1000.0</v>
      </c>
      <c r="J125" s="3" t="s">
        <v>35</v>
      </c>
      <c r="K125" s="16">
        <v>105.0</v>
      </c>
      <c r="L125" s="16"/>
    </row>
    <row r="126" ht="15.75" customHeight="1">
      <c r="A126" s="17" t="s">
        <v>16</v>
      </c>
      <c r="C126" s="4" t="s">
        <v>273</v>
      </c>
      <c r="D126" s="4" t="s">
        <v>274</v>
      </c>
      <c r="E126" s="4"/>
      <c r="F126" s="18" t="str">
        <f t="shared" si="10"/>
        <v>FOOD</v>
      </c>
      <c r="G126" s="18" t="s">
        <v>19</v>
      </c>
      <c r="H126" s="4" t="str">
        <f t="shared" si="3"/>
        <v>500/PACK</v>
      </c>
      <c r="I126" s="4">
        <v>500.0</v>
      </c>
      <c r="J126" s="3" t="s">
        <v>23</v>
      </c>
      <c r="K126" s="16">
        <v>41.2</v>
      </c>
      <c r="L126" s="16"/>
    </row>
    <row r="127" ht="15.75" customHeight="1">
      <c r="A127" s="17" t="s">
        <v>16</v>
      </c>
      <c r="C127" s="4" t="s">
        <v>275</v>
      </c>
      <c r="D127" s="4" t="s">
        <v>276</v>
      </c>
      <c r="E127" s="4"/>
      <c r="F127" s="18" t="str">
        <f t="shared" si="10"/>
        <v>FOOD</v>
      </c>
      <c r="G127" s="18" t="s">
        <v>19</v>
      </c>
      <c r="H127" s="4" t="str">
        <f t="shared" si="3"/>
        <v>1000/KG</v>
      </c>
      <c r="I127" s="4">
        <v>1000.0</v>
      </c>
      <c r="J127" s="3" t="s">
        <v>35</v>
      </c>
      <c r="K127" s="16">
        <v>465.97</v>
      </c>
      <c r="L127" s="16"/>
    </row>
    <row r="128" ht="15.75" customHeight="1">
      <c r="A128" s="17" t="s">
        <v>16</v>
      </c>
      <c r="C128" s="4" t="s">
        <v>277</v>
      </c>
      <c r="D128" s="4" t="s">
        <v>278</v>
      </c>
      <c r="E128" s="4"/>
      <c r="F128" s="18" t="str">
        <f t="shared" si="10"/>
        <v>FOOD</v>
      </c>
      <c r="G128" s="18" t="s">
        <v>19</v>
      </c>
      <c r="H128" s="4" t="str">
        <f t="shared" si="3"/>
        <v>1000/KG</v>
      </c>
      <c r="I128" s="4">
        <v>1000.0</v>
      </c>
      <c r="J128" s="3" t="s">
        <v>35</v>
      </c>
      <c r="K128" s="16">
        <v>990.85</v>
      </c>
      <c r="L128" s="16"/>
    </row>
    <row r="129" ht="15.75" customHeight="1">
      <c r="A129" s="17" t="s">
        <v>16</v>
      </c>
      <c r="C129" s="20" t="s">
        <v>279</v>
      </c>
      <c r="D129" s="4" t="s">
        <v>280</v>
      </c>
      <c r="E129" s="4"/>
      <c r="F129" s="18" t="str">
        <f t="shared" si="10"/>
        <v>FOOD</v>
      </c>
      <c r="G129" s="18" t="s">
        <v>19</v>
      </c>
      <c r="H129" s="4" t="str">
        <f t="shared" si="3"/>
        <v>100/PACK</v>
      </c>
      <c r="I129" s="18">
        <v>100.0</v>
      </c>
      <c r="J129" s="3" t="s">
        <v>23</v>
      </c>
      <c r="K129" s="16">
        <v>59.1</v>
      </c>
      <c r="L129" s="16"/>
    </row>
    <row r="130" ht="15.75" customHeight="1">
      <c r="A130" s="17" t="s">
        <v>16</v>
      </c>
      <c r="C130" s="4" t="s">
        <v>281</v>
      </c>
      <c r="D130" s="4" t="s">
        <v>282</v>
      </c>
      <c r="E130" s="4"/>
      <c r="F130" s="18" t="str">
        <f t="shared" si="10"/>
        <v>FOOD</v>
      </c>
      <c r="G130" s="18" t="s">
        <v>19</v>
      </c>
      <c r="H130" s="4" t="str">
        <f t="shared" si="3"/>
        <v>1000/KG</v>
      </c>
      <c r="I130" s="4">
        <v>1000.0</v>
      </c>
      <c r="J130" s="3" t="s">
        <v>35</v>
      </c>
      <c r="K130" s="16">
        <v>858.52</v>
      </c>
      <c r="L130" s="16"/>
    </row>
    <row r="131" ht="15.75" customHeight="1">
      <c r="A131" s="17" t="s">
        <v>16</v>
      </c>
      <c r="C131" s="4" t="s">
        <v>283</v>
      </c>
      <c r="D131" s="4" t="s">
        <v>284</v>
      </c>
      <c r="E131" s="4"/>
      <c r="F131" s="18" t="str">
        <f t="shared" si="10"/>
        <v>FOOD</v>
      </c>
      <c r="G131" s="18" t="s">
        <v>19</v>
      </c>
      <c r="H131" s="4" t="str">
        <f t="shared" si="3"/>
        <v>1/PACK</v>
      </c>
      <c r="I131" s="4">
        <v>1.0</v>
      </c>
      <c r="J131" s="3" t="s">
        <v>23</v>
      </c>
      <c r="K131" s="16">
        <v>111.8</v>
      </c>
      <c r="L131" s="16"/>
    </row>
    <row r="132" ht="15.75" customHeight="1">
      <c r="A132" s="17" t="s">
        <v>16</v>
      </c>
      <c r="C132" s="20" t="s">
        <v>285</v>
      </c>
      <c r="D132" s="4" t="s">
        <v>286</v>
      </c>
      <c r="E132" s="4"/>
      <c r="F132" s="18" t="str">
        <f t="shared" si="10"/>
        <v>FOOD</v>
      </c>
      <c r="G132" s="18" t="s">
        <v>19</v>
      </c>
      <c r="H132" s="4" t="str">
        <f t="shared" si="3"/>
        <v>1000/KG</v>
      </c>
      <c r="I132" s="4">
        <v>1000.0</v>
      </c>
      <c r="J132" s="3" t="s">
        <v>35</v>
      </c>
      <c r="K132" s="16">
        <v>640.62</v>
      </c>
      <c r="L132" s="16"/>
    </row>
    <row r="133" ht="15.75" customHeight="1">
      <c r="A133" s="17" t="s">
        <v>16</v>
      </c>
      <c r="C133" s="20" t="s">
        <v>287</v>
      </c>
      <c r="D133" s="3" t="s">
        <v>288</v>
      </c>
      <c r="E133" s="4"/>
      <c r="F133" s="18" t="str">
        <f t="shared" si="10"/>
        <v>FOOD</v>
      </c>
      <c r="G133" s="18" t="s">
        <v>19</v>
      </c>
      <c r="H133" s="4" t="str">
        <f t="shared" si="3"/>
        <v>18/PACK</v>
      </c>
      <c r="I133" s="4">
        <v>18.0</v>
      </c>
      <c r="J133" s="3" t="s">
        <v>23</v>
      </c>
      <c r="K133" s="16">
        <v>339.55</v>
      </c>
      <c r="L133" s="16"/>
    </row>
    <row r="134" ht="15.75" customHeight="1">
      <c r="A134" s="17" t="s">
        <v>16</v>
      </c>
      <c r="C134" s="20" t="s">
        <v>289</v>
      </c>
      <c r="D134" s="4" t="s">
        <v>290</v>
      </c>
      <c r="E134" s="4"/>
      <c r="F134" s="18" t="str">
        <f t="shared" si="10"/>
        <v>FOOD</v>
      </c>
      <c r="G134" s="18" t="s">
        <v>19</v>
      </c>
      <c r="H134" s="4" t="str">
        <f t="shared" si="3"/>
        <v>1000/KG</v>
      </c>
      <c r="I134" s="4">
        <v>1000.0</v>
      </c>
      <c r="J134" s="3" t="s">
        <v>35</v>
      </c>
      <c r="K134" s="16">
        <v>619.53</v>
      </c>
      <c r="L134" s="16"/>
    </row>
    <row r="135" ht="15.75" customHeight="1">
      <c r="A135" s="17" t="s">
        <v>16</v>
      </c>
      <c r="C135" s="20" t="s">
        <v>291</v>
      </c>
      <c r="D135" s="4" t="s">
        <v>292</v>
      </c>
      <c r="E135" s="4"/>
      <c r="F135" s="18" t="str">
        <f t="shared" si="10"/>
        <v>FOOD</v>
      </c>
      <c r="G135" s="18" t="s">
        <v>19</v>
      </c>
      <c r="H135" s="4" t="str">
        <f t="shared" si="3"/>
        <v>1000/KG</v>
      </c>
      <c r="I135" s="18">
        <v>1000.0</v>
      </c>
      <c r="J135" s="3" t="s">
        <v>35</v>
      </c>
      <c r="K135" s="16">
        <v>601.29</v>
      </c>
      <c r="L135" s="16"/>
    </row>
    <row r="136" ht="15.75" customHeight="1">
      <c r="A136" s="17" t="s">
        <v>16</v>
      </c>
      <c r="C136" s="20" t="s">
        <v>293</v>
      </c>
      <c r="D136" s="4" t="s">
        <v>294</v>
      </c>
      <c r="E136" s="4"/>
      <c r="F136" s="18" t="str">
        <f t="shared" si="10"/>
        <v>FOOD</v>
      </c>
      <c r="G136" s="18" t="s">
        <v>19</v>
      </c>
      <c r="H136" s="4" t="str">
        <f t="shared" si="3"/>
        <v>10/WHOLE</v>
      </c>
      <c r="I136" s="25">
        <v>10.0</v>
      </c>
      <c r="J136" s="19" t="s">
        <v>57</v>
      </c>
      <c r="K136" s="16">
        <v>531.8000000000001</v>
      </c>
      <c r="L136" s="16"/>
    </row>
    <row r="137" ht="15.75" customHeight="1">
      <c r="A137" s="17" t="s">
        <v>16</v>
      </c>
      <c r="C137" s="20" t="s">
        <v>295</v>
      </c>
      <c r="D137" s="4" t="s">
        <v>296</v>
      </c>
      <c r="E137" s="4"/>
      <c r="F137" s="18" t="str">
        <f t="shared" si="10"/>
        <v>FOOD</v>
      </c>
      <c r="G137" s="18" t="s">
        <v>19</v>
      </c>
      <c r="H137" s="4" t="str">
        <f t="shared" si="3"/>
        <v>10/WHOLE</v>
      </c>
      <c r="I137" s="18">
        <v>10.0</v>
      </c>
      <c r="J137" s="3" t="s">
        <v>57</v>
      </c>
      <c r="K137" s="16">
        <v>785.9</v>
      </c>
      <c r="L137" s="16"/>
    </row>
    <row r="138" ht="15.75" customHeight="1">
      <c r="A138" s="17" t="s">
        <v>16</v>
      </c>
      <c r="C138" s="20" t="s">
        <v>297</v>
      </c>
      <c r="D138" s="4" t="s">
        <v>298</v>
      </c>
      <c r="E138" s="4"/>
      <c r="F138" s="18" t="str">
        <f t="shared" si="10"/>
        <v>FOOD</v>
      </c>
      <c r="G138" s="18" t="s">
        <v>19</v>
      </c>
      <c r="H138" s="4" t="str">
        <f t="shared" si="3"/>
        <v>1/LOAF</v>
      </c>
      <c r="I138" s="18">
        <v>1.0</v>
      </c>
      <c r="J138" s="3" t="s">
        <v>171</v>
      </c>
      <c r="K138" s="16">
        <v>604.8000000000001</v>
      </c>
      <c r="L138" s="16"/>
    </row>
    <row r="139" ht="15.75" customHeight="1">
      <c r="A139" s="17" t="s">
        <v>16</v>
      </c>
      <c r="C139" s="4" t="s">
        <v>299</v>
      </c>
      <c r="D139" s="4" t="s">
        <v>300</v>
      </c>
      <c r="E139" s="4"/>
      <c r="F139" s="18" t="str">
        <f t="shared" si="10"/>
        <v>FOOD</v>
      </c>
      <c r="G139" s="18" t="s">
        <v>19</v>
      </c>
      <c r="H139" s="4" t="str">
        <f t="shared" si="3"/>
        <v>6/PACK</v>
      </c>
      <c r="I139" s="28">
        <v>6.0</v>
      </c>
      <c r="J139" s="29" t="s">
        <v>23</v>
      </c>
      <c r="K139" s="16">
        <v>261.20000000000005</v>
      </c>
      <c r="L139" s="16"/>
    </row>
    <row r="140" ht="15.75" customHeight="1">
      <c r="A140" s="17" t="s">
        <v>16</v>
      </c>
      <c r="C140" s="4" t="s">
        <v>301</v>
      </c>
      <c r="D140" s="4" t="s">
        <v>302</v>
      </c>
      <c r="E140" s="4"/>
      <c r="F140" s="18" t="str">
        <f t="shared" si="10"/>
        <v>FOOD</v>
      </c>
      <c r="G140" s="18" t="s">
        <v>19</v>
      </c>
      <c r="H140" s="4" t="str">
        <f t="shared" si="3"/>
        <v>20/PACK</v>
      </c>
      <c r="I140" s="4">
        <v>20.0</v>
      </c>
      <c r="J140" s="3" t="s">
        <v>23</v>
      </c>
      <c r="K140" s="16">
        <v>137.7</v>
      </c>
      <c r="L140" s="16"/>
    </row>
    <row r="141" ht="15.75" customHeight="1">
      <c r="A141" s="17" t="s">
        <v>16</v>
      </c>
      <c r="C141" s="20" t="s">
        <v>303</v>
      </c>
      <c r="D141" s="4" t="s">
        <v>304</v>
      </c>
      <c r="E141" s="4"/>
      <c r="F141" s="18" t="str">
        <f t="shared" si="10"/>
        <v>FOOD</v>
      </c>
      <c r="G141" s="18" t="s">
        <v>19</v>
      </c>
      <c r="H141" s="4" t="str">
        <f t="shared" si="3"/>
        <v>18/PACK</v>
      </c>
      <c r="I141" s="28">
        <v>18.0</v>
      </c>
      <c r="J141" s="3" t="s">
        <v>23</v>
      </c>
      <c r="K141" s="16">
        <v>120.18</v>
      </c>
      <c r="L141" s="16"/>
    </row>
    <row r="142" ht="15.75" customHeight="1">
      <c r="A142" s="17" t="s">
        <v>16</v>
      </c>
      <c r="C142" s="4" t="s">
        <v>305</v>
      </c>
      <c r="D142" s="4" t="s">
        <v>306</v>
      </c>
      <c r="E142" s="4"/>
      <c r="F142" s="18" t="str">
        <f t="shared" si="10"/>
        <v>FOOD</v>
      </c>
      <c r="G142" s="18" t="s">
        <v>19</v>
      </c>
      <c r="H142" s="4" t="str">
        <f t="shared" si="3"/>
        <v>8/PACK</v>
      </c>
      <c r="I142" s="4">
        <v>8.0</v>
      </c>
      <c r="J142" s="3" t="s">
        <v>23</v>
      </c>
      <c r="K142" s="16">
        <v>314.20000000000005</v>
      </c>
      <c r="L142" s="16"/>
    </row>
    <row r="143" ht="15.75" customHeight="1">
      <c r="A143" s="17" t="s">
        <v>16</v>
      </c>
      <c r="C143" s="20" t="s">
        <v>307</v>
      </c>
      <c r="D143" s="4" t="s">
        <v>308</v>
      </c>
      <c r="E143" s="4"/>
      <c r="F143" s="18" t="str">
        <f t="shared" si="10"/>
        <v>FOOD</v>
      </c>
      <c r="G143" s="18" t="s">
        <v>19</v>
      </c>
      <c r="H143" s="4" t="str">
        <f t="shared" si="3"/>
        <v>1000/KG</v>
      </c>
      <c r="I143" s="4">
        <v>1000.0</v>
      </c>
      <c r="J143" s="3" t="s">
        <v>35</v>
      </c>
      <c r="K143" s="16">
        <v>292.95</v>
      </c>
      <c r="L143" s="16"/>
    </row>
    <row r="144" ht="15.75" customHeight="1">
      <c r="A144" s="17" t="s">
        <v>16</v>
      </c>
      <c r="C144" s="4" t="s">
        <v>309</v>
      </c>
      <c r="D144" s="4" t="s">
        <v>310</v>
      </c>
      <c r="E144" s="4"/>
      <c r="F144" s="18" t="str">
        <f t="shared" si="10"/>
        <v>FOOD</v>
      </c>
      <c r="G144" s="18" t="s">
        <v>19</v>
      </c>
      <c r="H144" s="4" t="str">
        <f t="shared" si="3"/>
        <v>1/PC</v>
      </c>
      <c r="I144" s="4">
        <v>1.0</v>
      </c>
      <c r="J144" s="3" t="s">
        <v>42</v>
      </c>
      <c r="K144" s="16">
        <v>15.299999999999999</v>
      </c>
      <c r="L144" s="16"/>
    </row>
    <row r="145" ht="15.75" customHeight="1">
      <c r="A145" s="17" t="s">
        <v>16</v>
      </c>
      <c r="C145" s="4" t="s">
        <v>311</v>
      </c>
      <c r="D145" s="4" t="s">
        <v>312</v>
      </c>
      <c r="E145" s="4"/>
      <c r="F145" s="18" t="str">
        <f t="shared" si="10"/>
        <v>FOOD</v>
      </c>
      <c r="G145" s="18" t="s">
        <v>19</v>
      </c>
      <c r="H145" s="4" t="str">
        <f t="shared" si="3"/>
        <v>8/PACK</v>
      </c>
      <c r="I145" s="4">
        <v>8.0</v>
      </c>
      <c r="J145" s="3" t="s">
        <v>23</v>
      </c>
      <c r="K145" s="16">
        <v>121.19999999999999</v>
      </c>
      <c r="L145" s="16"/>
    </row>
    <row r="146" ht="15.75" customHeight="1">
      <c r="A146" s="17" t="s">
        <v>16</v>
      </c>
      <c r="C146" s="4" t="s">
        <v>313</v>
      </c>
      <c r="D146" s="4" t="s">
        <v>314</v>
      </c>
      <c r="E146" s="4"/>
      <c r="F146" s="18" t="str">
        <f t="shared" si="10"/>
        <v>FOOD</v>
      </c>
      <c r="G146" s="18" t="s">
        <v>19</v>
      </c>
      <c r="H146" s="4" t="str">
        <f t="shared" si="3"/>
        <v>1/PC</v>
      </c>
      <c r="I146" s="4">
        <v>1.0</v>
      </c>
      <c r="J146" s="3" t="s">
        <v>42</v>
      </c>
      <c r="K146" s="16">
        <v>41.39</v>
      </c>
      <c r="L146" s="16"/>
    </row>
    <row r="147" ht="15.75" customHeight="1">
      <c r="A147" s="17" t="s">
        <v>16</v>
      </c>
      <c r="C147" s="4" t="s">
        <v>315</v>
      </c>
      <c r="D147" s="4" t="s">
        <v>316</v>
      </c>
      <c r="E147" s="4"/>
      <c r="F147" s="18" t="str">
        <f t="shared" si="10"/>
        <v>FOOD</v>
      </c>
      <c r="G147" s="18" t="s">
        <v>19</v>
      </c>
      <c r="H147" s="4" t="str">
        <f t="shared" si="3"/>
        <v>1/PACK</v>
      </c>
      <c r="I147" s="4">
        <v>1.0</v>
      </c>
      <c r="J147" s="3" t="s">
        <v>23</v>
      </c>
      <c r="K147" s="16">
        <v>124.8</v>
      </c>
      <c r="L147" s="16"/>
    </row>
    <row r="148" ht="15.75" customHeight="1">
      <c r="A148" s="17" t="s">
        <v>16</v>
      </c>
      <c r="C148" s="20" t="s">
        <v>317</v>
      </c>
      <c r="D148" s="4" t="s">
        <v>318</v>
      </c>
      <c r="E148" s="4"/>
      <c r="F148" s="18" t="str">
        <f t="shared" si="10"/>
        <v>FOOD</v>
      </c>
      <c r="G148" s="18" t="s">
        <v>19</v>
      </c>
      <c r="H148" s="4" t="str">
        <f t="shared" si="3"/>
        <v>1/PC</v>
      </c>
      <c r="I148" s="4">
        <v>1.0</v>
      </c>
      <c r="J148" s="3" t="s">
        <v>42</v>
      </c>
      <c r="K148" s="16">
        <v>175.29999999999998</v>
      </c>
      <c r="L148" s="16"/>
    </row>
    <row r="149" ht="15.75" customHeight="1">
      <c r="A149" s="17" t="s">
        <v>16</v>
      </c>
      <c r="C149" s="20" t="s">
        <v>319</v>
      </c>
      <c r="D149" s="4" t="s">
        <v>320</v>
      </c>
      <c r="E149" s="4"/>
      <c r="F149" s="18" t="str">
        <f t="shared" si="10"/>
        <v>FOOD</v>
      </c>
      <c r="G149" s="18" t="s">
        <v>19</v>
      </c>
      <c r="H149" s="4" t="str">
        <f t="shared" si="3"/>
        <v>1/pc</v>
      </c>
      <c r="I149" s="18">
        <v>1.0</v>
      </c>
      <c r="J149" s="4" t="s">
        <v>321</v>
      </c>
      <c r="K149" s="16">
        <v>248.29999999999998</v>
      </c>
      <c r="L149" s="16"/>
    </row>
    <row r="150" ht="15.75" customHeight="1">
      <c r="A150" s="17" t="s">
        <v>16</v>
      </c>
      <c r="C150" s="20" t="s">
        <v>322</v>
      </c>
      <c r="D150" s="4" t="s">
        <v>323</v>
      </c>
      <c r="E150" s="4"/>
      <c r="F150" s="18" t="str">
        <f t="shared" si="10"/>
        <v>FOOD</v>
      </c>
      <c r="G150" s="18" t="s">
        <v>19</v>
      </c>
      <c r="H150" s="4" t="str">
        <f t="shared" si="3"/>
        <v>1/PC</v>
      </c>
      <c r="I150" s="4">
        <v>1.0</v>
      </c>
      <c r="J150" s="3" t="s">
        <v>42</v>
      </c>
      <c r="K150" s="16">
        <v>71.8</v>
      </c>
      <c r="L150" s="16"/>
    </row>
    <row r="151" ht="15.75" customHeight="1">
      <c r="A151" s="17" t="s">
        <v>16</v>
      </c>
      <c r="C151" s="4" t="s">
        <v>324</v>
      </c>
      <c r="D151" s="4" t="s">
        <v>325</v>
      </c>
      <c r="E151" s="4"/>
      <c r="F151" s="18" t="str">
        <f t="shared" si="10"/>
        <v>FOOD</v>
      </c>
      <c r="G151" s="18" t="s">
        <v>19</v>
      </c>
      <c r="H151" s="4" t="str">
        <f t="shared" si="3"/>
        <v>10/WHOLE</v>
      </c>
      <c r="I151" s="4">
        <v>10.0</v>
      </c>
      <c r="J151" s="3" t="s">
        <v>57</v>
      </c>
      <c r="K151" s="16">
        <v>480.0</v>
      </c>
      <c r="L151" s="16"/>
    </row>
    <row r="152" ht="15.75" customHeight="1">
      <c r="A152" s="17" t="s">
        <v>16</v>
      </c>
      <c r="C152" s="20" t="s">
        <v>326</v>
      </c>
      <c r="D152" s="4" t="s">
        <v>327</v>
      </c>
      <c r="E152" s="4"/>
      <c r="F152" s="18" t="str">
        <f t="shared" si="10"/>
        <v>FOOD</v>
      </c>
      <c r="G152" s="18" t="s">
        <v>19</v>
      </c>
      <c r="H152" s="4" t="str">
        <f t="shared" si="3"/>
        <v>10/WHOLE</v>
      </c>
      <c r="I152" s="18">
        <v>10.0</v>
      </c>
      <c r="J152" s="3" t="s">
        <v>57</v>
      </c>
      <c r="K152" s="16">
        <v>634.2</v>
      </c>
      <c r="L152" s="16"/>
    </row>
    <row r="153" ht="15.75" customHeight="1">
      <c r="A153" s="17" t="s">
        <v>16</v>
      </c>
      <c r="C153" s="20" t="s">
        <v>328</v>
      </c>
      <c r="D153" s="4" t="s">
        <v>329</v>
      </c>
      <c r="E153" s="4"/>
      <c r="F153" s="18" t="str">
        <f t="shared" si="10"/>
        <v>FOOD</v>
      </c>
      <c r="G153" s="18" t="s">
        <v>19</v>
      </c>
      <c r="H153" s="4" t="str">
        <f t="shared" si="3"/>
        <v>1000/KG</v>
      </c>
      <c r="I153" s="4">
        <v>1000.0</v>
      </c>
      <c r="J153" s="3" t="s">
        <v>35</v>
      </c>
      <c r="K153" s="16">
        <v>782.81</v>
      </c>
      <c r="L153" s="16"/>
    </row>
    <row r="154" ht="15.75" customHeight="1">
      <c r="A154" s="17" t="s">
        <v>16</v>
      </c>
      <c r="C154" s="4" t="s">
        <v>330</v>
      </c>
      <c r="D154" s="4" t="s">
        <v>331</v>
      </c>
      <c r="E154" s="4"/>
      <c r="F154" s="18" t="str">
        <f t="shared" si="10"/>
        <v>FOOD</v>
      </c>
      <c r="G154" s="18" t="s">
        <v>19</v>
      </c>
      <c r="H154" s="4" t="str">
        <f t="shared" si="3"/>
        <v>1000/KG</v>
      </c>
      <c r="I154" s="4">
        <v>1000.0</v>
      </c>
      <c r="J154" s="3" t="s">
        <v>35</v>
      </c>
      <c r="K154" s="16">
        <v>848.25</v>
      </c>
      <c r="L154" s="16"/>
    </row>
    <row r="155" ht="15.75" customHeight="1">
      <c r="A155" s="17" t="s">
        <v>16</v>
      </c>
      <c r="C155" s="4" t="s">
        <v>332</v>
      </c>
      <c r="D155" s="4" t="s">
        <v>333</v>
      </c>
      <c r="E155" s="4"/>
      <c r="F155" s="18" t="str">
        <f t="shared" si="10"/>
        <v>FOOD</v>
      </c>
      <c r="G155" s="18" t="s">
        <v>19</v>
      </c>
      <c r="H155" s="4" t="str">
        <f t="shared" si="3"/>
        <v>1000/KG</v>
      </c>
      <c r="I155" s="4">
        <v>1000.0</v>
      </c>
      <c r="J155" s="3" t="s">
        <v>35</v>
      </c>
      <c r="K155" s="16">
        <v>1800.11</v>
      </c>
      <c r="L155" s="16"/>
    </row>
    <row r="156" ht="15.75" customHeight="1">
      <c r="A156" s="17" t="s">
        <v>16</v>
      </c>
      <c r="C156" s="4" t="s">
        <v>334</v>
      </c>
      <c r="D156" s="4" t="s">
        <v>335</v>
      </c>
      <c r="E156" s="4"/>
      <c r="F156" s="18" t="s">
        <v>40</v>
      </c>
      <c r="G156" s="18" t="s">
        <v>41</v>
      </c>
      <c r="H156" s="4" t="str">
        <f t="shared" si="3"/>
        <v>1/PC</v>
      </c>
      <c r="I156" s="4">
        <v>1.0</v>
      </c>
      <c r="J156" s="3" t="s">
        <v>42</v>
      </c>
      <c r="K156" s="16">
        <v>435.94</v>
      </c>
      <c r="L156" s="16"/>
    </row>
    <row r="157" ht="15.75" customHeight="1">
      <c r="A157" s="17" t="s">
        <v>16</v>
      </c>
      <c r="C157" s="4" t="s">
        <v>336</v>
      </c>
      <c r="D157" s="4" t="s">
        <v>337</v>
      </c>
      <c r="E157" s="4"/>
      <c r="F157" s="18" t="str">
        <f>G157</f>
        <v>FOOD</v>
      </c>
      <c r="G157" s="18" t="s">
        <v>19</v>
      </c>
      <c r="H157" s="4" t="str">
        <f t="shared" si="3"/>
        <v>1000/KG</v>
      </c>
      <c r="I157" s="4">
        <v>1000.0</v>
      </c>
      <c r="J157" s="3" t="s">
        <v>35</v>
      </c>
      <c r="K157" s="16">
        <v>3210.38</v>
      </c>
      <c r="L157" s="16"/>
    </row>
    <row r="158" ht="15.75" customHeight="1">
      <c r="A158" s="17" t="s">
        <v>16</v>
      </c>
      <c r="C158" s="4" t="s">
        <v>338</v>
      </c>
      <c r="D158" s="4" t="s">
        <v>339</v>
      </c>
      <c r="E158" s="4"/>
      <c r="F158" s="18" t="s">
        <v>40</v>
      </c>
      <c r="G158" s="18" t="s">
        <v>41</v>
      </c>
      <c r="H158" s="4" t="str">
        <f t="shared" si="3"/>
        <v>100/PACK</v>
      </c>
      <c r="I158" s="4">
        <v>100.0</v>
      </c>
      <c r="J158" s="3" t="s">
        <v>23</v>
      </c>
      <c r="K158" s="16">
        <v>327.39</v>
      </c>
      <c r="L158" s="16"/>
    </row>
    <row r="159" ht="15.75" customHeight="1">
      <c r="A159" s="17" t="s">
        <v>16</v>
      </c>
      <c r="C159" s="20" t="s">
        <v>340</v>
      </c>
      <c r="D159" s="4" t="s">
        <v>341</v>
      </c>
      <c r="E159" s="4"/>
      <c r="F159" s="18" t="str">
        <f t="shared" ref="F159:F170" si="11">G159</f>
        <v>FOOD</v>
      </c>
      <c r="G159" s="18" t="s">
        <v>19</v>
      </c>
      <c r="H159" s="4" t="str">
        <f t="shared" si="3"/>
        <v>1000/KG</v>
      </c>
      <c r="I159" s="4">
        <v>1000.0</v>
      </c>
      <c r="J159" s="3" t="s">
        <v>35</v>
      </c>
      <c r="K159" s="16">
        <v>586.95</v>
      </c>
      <c r="L159" s="16"/>
    </row>
    <row r="160" ht="15.75" customHeight="1">
      <c r="A160" s="17" t="s">
        <v>16</v>
      </c>
      <c r="C160" s="4" t="s">
        <v>342</v>
      </c>
      <c r="D160" s="4" t="s">
        <v>343</v>
      </c>
      <c r="E160" s="4"/>
      <c r="F160" s="18" t="str">
        <f t="shared" si="11"/>
        <v>FOOD</v>
      </c>
      <c r="G160" s="18" t="s">
        <v>19</v>
      </c>
      <c r="H160" s="4" t="str">
        <f t="shared" si="3"/>
        <v>1000/LIT</v>
      </c>
      <c r="I160" s="4">
        <v>1000.0</v>
      </c>
      <c r="J160" s="3" t="s">
        <v>20</v>
      </c>
      <c r="K160" s="16">
        <v>180.51</v>
      </c>
      <c r="L160" s="16"/>
    </row>
    <row r="161" ht="15.75" customHeight="1">
      <c r="A161" s="17" t="s">
        <v>16</v>
      </c>
      <c r="C161" s="4" t="s">
        <v>344</v>
      </c>
      <c r="D161" s="4" t="s">
        <v>345</v>
      </c>
      <c r="E161" s="4"/>
      <c r="F161" s="18" t="str">
        <f t="shared" si="11"/>
        <v>BEVERAGE</v>
      </c>
      <c r="G161" s="18" t="s">
        <v>54</v>
      </c>
      <c r="H161" s="4" t="str">
        <f t="shared" si="3"/>
        <v>300/PC(300)</v>
      </c>
      <c r="I161" s="4">
        <v>300.0</v>
      </c>
      <c r="J161" s="3" t="s">
        <v>346</v>
      </c>
      <c r="K161" s="16">
        <v>59.59</v>
      </c>
      <c r="L161" s="16"/>
    </row>
    <row r="162" ht="15.75" customHeight="1">
      <c r="A162" s="17" t="s">
        <v>16</v>
      </c>
      <c r="C162" s="20" t="s">
        <v>347</v>
      </c>
      <c r="D162" s="4" t="s">
        <v>348</v>
      </c>
      <c r="E162" s="4"/>
      <c r="F162" s="18" t="str">
        <f t="shared" si="11"/>
        <v>BEVERAGE</v>
      </c>
      <c r="G162" s="18" t="s">
        <v>54</v>
      </c>
      <c r="H162" s="4" t="str">
        <f t="shared" si="3"/>
        <v>1000/KG</v>
      </c>
      <c r="I162" s="18">
        <v>1000.0</v>
      </c>
      <c r="J162" s="3" t="s">
        <v>35</v>
      </c>
      <c r="K162" s="16">
        <v>233.76</v>
      </c>
      <c r="L162" s="16"/>
    </row>
    <row r="163" ht="15.75" customHeight="1">
      <c r="A163" s="17" t="s">
        <v>16</v>
      </c>
      <c r="C163" s="4" t="s">
        <v>349</v>
      </c>
      <c r="D163" s="4" t="s">
        <v>350</v>
      </c>
      <c r="E163" s="4"/>
      <c r="F163" s="18" t="str">
        <f t="shared" si="11"/>
        <v>BEVERAGE</v>
      </c>
      <c r="G163" s="18" t="s">
        <v>54</v>
      </c>
      <c r="H163" s="4" t="str">
        <f t="shared" si="3"/>
        <v>1000/LIT</v>
      </c>
      <c r="I163" s="4">
        <v>1000.0</v>
      </c>
      <c r="J163" s="3" t="s">
        <v>20</v>
      </c>
      <c r="K163" s="16">
        <v>42.0</v>
      </c>
      <c r="L163" s="16"/>
    </row>
    <row r="164" ht="15.75" customHeight="1">
      <c r="A164" s="17" t="s">
        <v>16</v>
      </c>
      <c r="C164" s="4" t="s">
        <v>351</v>
      </c>
      <c r="D164" s="4" t="s">
        <v>352</v>
      </c>
      <c r="E164" s="4"/>
      <c r="F164" s="18" t="str">
        <f t="shared" si="11"/>
        <v>BEVERAGE</v>
      </c>
      <c r="G164" s="18" t="s">
        <v>54</v>
      </c>
      <c r="H164" s="4" t="str">
        <f t="shared" si="3"/>
        <v>1000/LIT</v>
      </c>
      <c r="I164" s="4">
        <v>1000.0</v>
      </c>
      <c r="J164" s="3" t="s">
        <v>20</v>
      </c>
      <c r="K164" s="16">
        <v>42.0</v>
      </c>
      <c r="L164" s="16"/>
    </row>
    <row r="165" ht="15.75" customHeight="1">
      <c r="A165" s="17" t="s">
        <v>16</v>
      </c>
      <c r="C165" s="20" t="s">
        <v>353</v>
      </c>
      <c r="D165" s="4" t="s">
        <v>354</v>
      </c>
      <c r="E165" s="4"/>
      <c r="F165" s="18" t="str">
        <f t="shared" si="11"/>
        <v>FOOD</v>
      </c>
      <c r="G165" s="18" t="s">
        <v>19</v>
      </c>
      <c r="H165" s="4" t="str">
        <f t="shared" si="3"/>
        <v>10/WHOLE</v>
      </c>
      <c r="I165" s="25">
        <v>10.0</v>
      </c>
      <c r="J165" s="19" t="s">
        <v>57</v>
      </c>
      <c r="K165" s="16">
        <v>505.25</v>
      </c>
      <c r="L165" s="16"/>
    </row>
    <row r="166" ht="15.75" customHeight="1">
      <c r="A166" s="17" t="s">
        <v>16</v>
      </c>
      <c r="C166" s="4" t="s">
        <v>355</v>
      </c>
      <c r="D166" s="4" t="s">
        <v>356</v>
      </c>
      <c r="E166" s="4"/>
      <c r="F166" s="18" t="str">
        <f t="shared" si="11"/>
        <v>FOOD</v>
      </c>
      <c r="G166" s="18" t="s">
        <v>19</v>
      </c>
      <c r="H166" s="4" t="str">
        <f t="shared" si="3"/>
        <v>1000/KG</v>
      </c>
      <c r="I166" s="4">
        <v>1000.0</v>
      </c>
      <c r="J166" s="3" t="s">
        <v>35</v>
      </c>
      <c r="K166" s="16">
        <v>83.94</v>
      </c>
      <c r="L166" s="16"/>
    </row>
    <row r="167" ht="15.75" customHeight="1">
      <c r="A167" s="17" t="s">
        <v>16</v>
      </c>
      <c r="C167" s="20" t="s">
        <v>357</v>
      </c>
      <c r="D167" s="4" t="s">
        <v>358</v>
      </c>
      <c r="E167" s="4"/>
      <c r="F167" s="18" t="str">
        <f t="shared" si="11"/>
        <v>FOOD</v>
      </c>
      <c r="G167" s="18" t="s">
        <v>19</v>
      </c>
      <c r="H167" s="4" t="str">
        <f t="shared" si="3"/>
        <v>4/PACK</v>
      </c>
      <c r="I167" s="18">
        <v>4.0</v>
      </c>
      <c r="J167" s="3" t="s">
        <v>23</v>
      </c>
      <c r="K167" s="16">
        <v>208.29999999999998</v>
      </c>
      <c r="L167" s="16"/>
    </row>
    <row r="168" ht="15.75" customHeight="1">
      <c r="A168" s="17" t="s">
        <v>16</v>
      </c>
      <c r="C168" s="4" t="s">
        <v>359</v>
      </c>
      <c r="D168" s="4" t="s">
        <v>360</v>
      </c>
      <c r="E168" s="4"/>
      <c r="F168" s="18" t="str">
        <f t="shared" si="11"/>
        <v>FOOD</v>
      </c>
      <c r="G168" s="18" t="s">
        <v>19</v>
      </c>
      <c r="H168" s="4" t="str">
        <f t="shared" si="3"/>
        <v>1000/KG</v>
      </c>
      <c r="I168" s="4">
        <v>1000.0</v>
      </c>
      <c r="J168" s="3" t="s">
        <v>35</v>
      </c>
      <c r="K168" s="16">
        <v>60.9</v>
      </c>
      <c r="L168" s="16"/>
    </row>
    <row r="169" ht="15.75" customHeight="1">
      <c r="A169" s="17" t="s">
        <v>16</v>
      </c>
      <c r="C169" s="4" t="s">
        <v>361</v>
      </c>
      <c r="D169" s="4" t="s">
        <v>362</v>
      </c>
      <c r="E169" s="4"/>
      <c r="F169" s="18" t="str">
        <f t="shared" si="11"/>
        <v>FOOD</v>
      </c>
      <c r="G169" s="18" t="s">
        <v>19</v>
      </c>
      <c r="H169" s="4" t="str">
        <f t="shared" si="3"/>
        <v>1000/KG</v>
      </c>
      <c r="I169" s="4">
        <v>1000.0</v>
      </c>
      <c r="J169" s="3" t="s">
        <v>35</v>
      </c>
      <c r="K169" s="16">
        <v>666.67</v>
      </c>
      <c r="L169" s="16"/>
    </row>
    <row r="170" ht="15.75" customHeight="1">
      <c r="A170" s="17" t="s">
        <v>16</v>
      </c>
      <c r="C170" s="4" t="s">
        <v>363</v>
      </c>
      <c r="D170" s="4" t="s">
        <v>364</v>
      </c>
      <c r="E170" s="4"/>
      <c r="F170" s="18" t="str">
        <f t="shared" si="11"/>
        <v>FOOD</v>
      </c>
      <c r="G170" s="18" t="s">
        <v>19</v>
      </c>
      <c r="H170" s="4" t="str">
        <f t="shared" si="3"/>
        <v>1/PC</v>
      </c>
      <c r="I170" s="4">
        <v>1.0</v>
      </c>
      <c r="J170" s="3" t="s">
        <v>42</v>
      </c>
      <c r="K170" s="16">
        <v>78.89999999999999</v>
      </c>
      <c r="L170" s="16"/>
    </row>
    <row r="171" ht="15.75" customHeight="1">
      <c r="A171" s="17" t="s">
        <v>16</v>
      </c>
      <c r="C171" s="4" t="s">
        <v>365</v>
      </c>
      <c r="D171" s="4" t="s">
        <v>366</v>
      </c>
      <c r="E171" s="4"/>
      <c r="F171" s="18" t="s">
        <v>40</v>
      </c>
      <c r="G171" s="18" t="s">
        <v>367</v>
      </c>
      <c r="H171" s="4" t="str">
        <f t="shared" si="3"/>
        <v>1/PC</v>
      </c>
      <c r="I171" s="4">
        <v>1.0</v>
      </c>
      <c r="J171" s="3" t="s">
        <v>42</v>
      </c>
      <c r="K171" s="16">
        <v>14.84</v>
      </c>
      <c r="L171" s="16"/>
    </row>
    <row r="172" ht="15.75" customHeight="1">
      <c r="A172" s="17" t="s">
        <v>16</v>
      </c>
      <c r="C172" s="4" t="s">
        <v>368</v>
      </c>
      <c r="D172" s="4" t="s">
        <v>369</v>
      </c>
      <c r="E172" s="4"/>
      <c r="F172" s="18" t="str">
        <f t="shared" ref="F172:F207" si="12">G172</f>
        <v>FOOD</v>
      </c>
      <c r="G172" s="18" t="s">
        <v>19</v>
      </c>
      <c r="H172" s="4" t="str">
        <f t="shared" si="3"/>
        <v>1000/KG</v>
      </c>
      <c r="I172" s="4">
        <v>1000.0</v>
      </c>
      <c r="J172" s="3" t="s">
        <v>35</v>
      </c>
      <c r="K172" s="16">
        <v>351.56</v>
      </c>
      <c r="L172" s="16"/>
    </row>
    <row r="173" ht="15.75" customHeight="1">
      <c r="A173" s="17" t="s">
        <v>16</v>
      </c>
      <c r="C173" s="20" t="s">
        <v>370</v>
      </c>
      <c r="D173" s="4" t="s">
        <v>371</v>
      </c>
      <c r="E173" s="4"/>
      <c r="F173" s="18" t="str">
        <f t="shared" si="12"/>
        <v>FOOD</v>
      </c>
      <c r="G173" s="18" t="s">
        <v>19</v>
      </c>
      <c r="H173" s="4" t="str">
        <f t="shared" si="3"/>
        <v>6/PACK</v>
      </c>
      <c r="I173" s="4">
        <v>6.0</v>
      </c>
      <c r="J173" s="3" t="s">
        <v>23</v>
      </c>
      <c r="K173" s="16">
        <v>360.0</v>
      </c>
      <c r="L173" s="16"/>
    </row>
    <row r="174" ht="15.75" customHeight="1">
      <c r="A174" s="17" t="s">
        <v>16</v>
      </c>
      <c r="C174" s="4" t="s">
        <v>372</v>
      </c>
      <c r="D174" s="3" t="s">
        <v>373</v>
      </c>
      <c r="E174" s="4"/>
      <c r="F174" s="18" t="str">
        <f t="shared" si="12"/>
        <v>FOOD</v>
      </c>
      <c r="G174" s="18" t="s">
        <v>19</v>
      </c>
      <c r="H174" s="4" t="str">
        <f t="shared" si="3"/>
        <v>10/WHOLE</v>
      </c>
      <c r="I174" s="4">
        <v>10.0</v>
      </c>
      <c r="J174" s="3" t="s">
        <v>57</v>
      </c>
      <c r="K174" s="16">
        <v>690.6</v>
      </c>
      <c r="L174" s="16"/>
    </row>
    <row r="175" ht="15.75" customHeight="1">
      <c r="A175" s="17" t="s">
        <v>16</v>
      </c>
      <c r="C175" s="4" t="s">
        <v>374</v>
      </c>
      <c r="D175" s="4" t="s">
        <v>375</v>
      </c>
      <c r="E175" s="4"/>
      <c r="F175" s="18" t="str">
        <f t="shared" si="12"/>
        <v>FOOD</v>
      </c>
      <c r="G175" s="18" t="s">
        <v>19</v>
      </c>
      <c r="H175" s="4" t="str">
        <f t="shared" si="3"/>
        <v>1/PC</v>
      </c>
      <c r="I175" s="28">
        <v>1.0</v>
      </c>
      <c r="J175" s="29" t="s">
        <v>42</v>
      </c>
      <c r="K175" s="16">
        <f>605.9/10</f>
        <v>60.59</v>
      </c>
      <c r="L175" s="16"/>
    </row>
    <row r="176" ht="15.75" customHeight="1">
      <c r="A176" s="17" t="s">
        <v>16</v>
      </c>
      <c r="C176" s="4" t="s">
        <v>376</v>
      </c>
      <c r="D176" s="4" t="s">
        <v>377</v>
      </c>
      <c r="E176" s="4"/>
      <c r="F176" s="18" t="str">
        <f t="shared" si="12"/>
        <v>FOOD</v>
      </c>
      <c r="G176" s="18" t="s">
        <v>19</v>
      </c>
      <c r="H176" s="4" t="str">
        <f t="shared" si="3"/>
        <v>1/PC</v>
      </c>
      <c r="I176" s="4">
        <v>1.0</v>
      </c>
      <c r="J176" s="3" t="s">
        <v>42</v>
      </c>
      <c r="K176" s="16">
        <v>46.42</v>
      </c>
      <c r="L176" s="16"/>
    </row>
    <row r="177" ht="15.75" customHeight="1">
      <c r="A177" s="17" t="s">
        <v>16</v>
      </c>
      <c r="C177" s="20" t="s">
        <v>378</v>
      </c>
      <c r="D177" s="4" t="s">
        <v>379</v>
      </c>
      <c r="E177" s="4"/>
      <c r="F177" s="18" t="str">
        <f t="shared" si="12"/>
        <v>FOOD</v>
      </c>
      <c r="G177" s="18" t="s">
        <v>19</v>
      </c>
      <c r="H177" s="4" t="str">
        <f t="shared" si="3"/>
        <v>1/pc</v>
      </c>
      <c r="I177" s="18">
        <v>1.0</v>
      </c>
      <c r="J177" s="19" t="s">
        <v>321</v>
      </c>
      <c r="K177" s="16">
        <v>65.89999999999999</v>
      </c>
      <c r="L177" s="16"/>
    </row>
    <row r="178" ht="15.75" customHeight="1">
      <c r="A178" s="17" t="s">
        <v>16</v>
      </c>
      <c r="C178" s="4" t="s">
        <v>380</v>
      </c>
      <c r="D178" s="4" t="s">
        <v>381</v>
      </c>
      <c r="E178" s="4"/>
      <c r="F178" s="18" t="str">
        <f t="shared" si="12"/>
        <v>FOOD</v>
      </c>
      <c r="G178" s="18" t="s">
        <v>19</v>
      </c>
      <c r="H178" s="4" t="str">
        <f t="shared" si="3"/>
        <v>1000/KG</v>
      </c>
      <c r="I178" s="4">
        <v>1000.0</v>
      </c>
      <c r="J178" s="3" t="s">
        <v>35</v>
      </c>
      <c r="K178" s="16">
        <v>328.13</v>
      </c>
      <c r="L178" s="16"/>
    </row>
    <row r="179" ht="15.75" customHeight="1">
      <c r="A179" s="17" t="s">
        <v>16</v>
      </c>
      <c r="C179" s="4" t="s">
        <v>382</v>
      </c>
      <c r="D179" s="4" t="s">
        <v>383</v>
      </c>
      <c r="E179" s="4"/>
      <c r="F179" s="18" t="str">
        <f t="shared" si="12"/>
        <v>FOOD</v>
      </c>
      <c r="G179" s="18" t="s">
        <v>19</v>
      </c>
      <c r="H179" s="4" t="str">
        <f t="shared" si="3"/>
        <v>1000/KG</v>
      </c>
      <c r="I179" s="4">
        <v>1000.0</v>
      </c>
      <c r="J179" s="3" t="s">
        <v>35</v>
      </c>
      <c r="K179" s="16">
        <v>776.07</v>
      </c>
      <c r="L179" s="16"/>
    </row>
    <row r="180" ht="15.75" customHeight="1">
      <c r="A180" s="17" t="s">
        <v>16</v>
      </c>
      <c r="C180" s="4" t="s">
        <v>384</v>
      </c>
      <c r="D180" s="4" t="s">
        <v>385</v>
      </c>
      <c r="E180" s="4"/>
      <c r="F180" s="18" t="str">
        <f t="shared" si="12"/>
        <v>FOOD</v>
      </c>
      <c r="G180" s="18" t="s">
        <v>19</v>
      </c>
      <c r="H180" s="4" t="str">
        <f t="shared" si="3"/>
        <v>1000/KG</v>
      </c>
      <c r="I180" s="4">
        <v>1000.0</v>
      </c>
      <c r="J180" s="3" t="s">
        <v>35</v>
      </c>
      <c r="K180" s="16">
        <v>317.24</v>
      </c>
      <c r="L180" s="16"/>
    </row>
    <row r="181" ht="15.75" customHeight="1">
      <c r="A181" s="17" t="s">
        <v>16</v>
      </c>
      <c r="C181" s="4" t="s">
        <v>386</v>
      </c>
      <c r="D181" s="4" t="s">
        <v>387</v>
      </c>
      <c r="E181" s="4"/>
      <c r="F181" s="18" t="str">
        <f t="shared" si="12"/>
        <v>FOOD</v>
      </c>
      <c r="G181" s="18" t="s">
        <v>19</v>
      </c>
      <c r="H181" s="4" t="str">
        <f t="shared" si="3"/>
        <v>1000/KG</v>
      </c>
      <c r="I181" s="4">
        <v>1000.0</v>
      </c>
      <c r="J181" s="3" t="s">
        <v>35</v>
      </c>
      <c r="K181" s="16">
        <v>132.2</v>
      </c>
      <c r="L181" s="16"/>
    </row>
    <row r="182" ht="15.75" customHeight="1">
      <c r="A182" s="17" t="s">
        <v>16</v>
      </c>
      <c r="C182" s="4" t="s">
        <v>388</v>
      </c>
      <c r="D182" s="4" t="s">
        <v>389</v>
      </c>
      <c r="E182" s="4"/>
      <c r="F182" s="18" t="str">
        <f t="shared" si="12"/>
        <v>FOOD</v>
      </c>
      <c r="G182" s="18" t="s">
        <v>19</v>
      </c>
      <c r="H182" s="4" t="str">
        <f t="shared" si="3"/>
        <v>1/PC</v>
      </c>
      <c r="I182" s="4">
        <v>1.0</v>
      </c>
      <c r="J182" s="3" t="s">
        <v>42</v>
      </c>
      <c r="K182" s="16">
        <v>42.15</v>
      </c>
      <c r="L182" s="16"/>
    </row>
    <row r="183" ht="15.75" customHeight="1">
      <c r="A183" s="17" t="s">
        <v>16</v>
      </c>
      <c r="C183" s="20" t="s">
        <v>390</v>
      </c>
      <c r="D183" s="4" t="s">
        <v>391</v>
      </c>
      <c r="E183" s="4"/>
      <c r="F183" s="18" t="str">
        <f t="shared" si="12"/>
        <v>FOOD</v>
      </c>
      <c r="G183" s="18" t="s">
        <v>19</v>
      </c>
      <c r="H183" s="4" t="str">
        <f t="shared" si="3"/>
        <v>1/PC(8)</v>
      </c>
      <c r="I183" s="18">
        <v>1.0</v>
      </c>
      <c r="J183" s="3" t="s">
        <v>392</v>
      </c>
      <c r="K183" s="16">
        <v>450.0</v>
      </c>
      <c r="L183" s="16"/>
    </row>
    <row r="184" ht="15.75" customHeight="1">
      <c r="A184" s="17" t="s">
        <v>16</v>
      </c>
      <c r="C184" s="20" t="s">
        <v>393</v>
      </c>
      <c r="D184" s="4" t="s">
        <v>394</v>
      </c>
      <c r="E184" s="4"/>
      <c r="F184" s="18" t="str">
        <f t="shared" si="12"/>
        <v>FOOD</v>
      </c>
      <c r="G184" s="18" t="s">
        <v>19</v>
      </c>
      <c r="H184" s="4" t="str">
        <f t="shared" si="3"/>
        <v>12/PACK</v>
      </c>
      <c r="I184" s="18">
        <v>12.0</v>
      </c>
      <c r="J184" s="3" t="s">
        <v>23</v>
      </c>
      <c r="K184" s="16">
        <v>45.9</v>
      </c>
      <c r="L184" s="16"/>
    </row>
    <row r="185" ht="15.75" customHeight="1">
      <c r="A185" s="17" t="s">
        <v>16</v>
      </c>
      <c r="C185" s="4" t="s">
        <v>395</v>
      </c>
      <c r="D185" s="4" t="s">
        <v>396</v>
      </c>
      <c r="E185" s="4"/>
      <c r="F185" s="18" t="str">
        <f t="shared" si="12"/>
        <v>FOOD</v>
      </c>
      <c r="G185" s="18" t="s">
        <v>19</v>
      </c>
      <c r="H185" s="4" t="str">
        <f t="shared" si="3"/>
        <v>6/PACK</v>
      </c>
      <c r="I185" s="4">
        <v>6.0</v>
      </c>
      <c r="J185" s="3" t="s">
        <v>23</v>
      </c>
      <c r="K185" s="16">
        <v>23.6</v>
      </c>
      <c r="L185" s="16"/>
    </row>
    <row r="186" ht="15.75" customHeight="1">
      <c r="A186" s="17" t="s">
        <v>16</v>
      </c>
      <c r="C186" s="4" t="s">
        <v>397</v>
      </c>
      <c r="D186" s="4" t="s">
        <v>398</v>
      </c>
      <c r="E186" s="4"/>
      <c r="F186" s="18" t="str">
        <f t="shared" si="12"/>
        <v>FOOD</v>
      </c>
      <c r="G186" s="18" t="s">
        <v>19</v>
      </c>
      <c r="H186" s="4" t="str">
        <f t="shared" si="3"/>
        <v>8/PACK</v>
      </c>
      <c r="I186" s="4">
        <v>8.0</v>
      </c>
      <c r="J186" s="3" t="s">
        <v>23</v>
      </c>
      <c r="K186" s="16">
        <v>314.20000000000005</v>
      </c>
      <c r="L186" s="16"/>
    </row>
    <row r="187" ht="15.75" customHeight="1">
      <c r="A187" s="17" t="s">
        <v>16</v>
      </c>
      <c r="C187" s="4" t="s">
        <v>399</v>
      </c>
      <c r="D187" s="4" t="s">
        <v>400</v>
      </c>
      <c r="E187" s="4"/>
      <c r="F187" s="18" t="str">
        <f t="shared" si="12"/>
        <v>FOOD</v>
      </c>
      <c r="G187" s="18" t="s">
        <v>19</v>
      </c>
      <c r="H187" s="4" t="str">
        <f t="shared" si="3"/>
        <v>1000/KG</v>
      </c>
      <c r="I187" s="4">
        <v>1000.0</v>
      </c>
      <c r="J187" s="3" t="s">
        <v>35</v>
      </c>
      <c r="K187" s="16">
        <v>515.62</v>
      </c>
      <c r="L187" s="16"/>
    </row>
    <row r="188" ht="15.75" customHeight="1">
      <c r="A188" s="17" t="s">
        <v>16</v>
      </c>
      <c r="C188" s="21" t="s">
        <v>401</v>
      </c>
      <c r="D188" s="4" t="s">
        <v>402</v>
      </c>
      <c r="E188" s="4"/>
      <c r="F188" s="18" t="str">
        <f t="shared" si="12"/>
        <v>FOOD</v>
      </c>
      <c r="G188" s="18" t="s">
        <v>19</v>
      </c>
      <c r="H188" s="4" t="str">
        <f t="shared" si="3"/>
        <v>1000/KG</v>
      </c>
      <c r="I188" s="4">
        <v>1000.0</v>
      </c>
      <c r="J188" s="3" t="s">
        <v>35</v>
      </c>
      <c r="K188" s="16">
        <v>399.0</v>
      </c>
      <c r="L188" s="16"/>
    </row>
    <row r="189" ht="15.75" customHeight="1">
      <c r="A189" s="17" t="s">
        <v>16</v>
      </c>
      <c r="C189" s="20" t="s">
        <v>403</v>
      </c>
      <c r="D189" s="4" t="s">
        <v>404</v>
      </c>
      <c r="E189" s="4"/>
      <c r="F189" s="18" t="str">
        <f t="shared" si="12"/>
        <v>FOOD</v>
      </c>
      <c r="G189" s="18" t="s">
        <v>19</v>
      </c>
      <c r="H189" s="4" t="str">
        <f t="shared" si="3"/>
        <v>1000/PACK</v>
      </c>
      <c r="I189" s="18">
        <v>1000.0</v>
      </c>
      <c r="J189" s="3" t="s">
        <v>23</v>
      </c>
      <c r="K189" s="16">
        <v>444.99</v>
      </c>
      <c r="L189" s="16"/>
    </row>
    <row r="190" ht="15.75" customHeight="1">
      <c r="A190" s="17" t="s">
        <v>16</v>
      </c>
      <c r="C190" s="4" t="s">
        <v>405</v>
      </c>
      <c r="D190" s="4" t="s">
        <v>406</v>
      </c>
      <c r="E190" s="4"/>
      <c r="F190" s="18" t="str">
        <f t="shared" si="12"/>
        <v>FOOD</v>
      </c>
      <c r="G190" s="18" t="s">
        <v>19</v>
      </c>
      <c r="H190" s="4" t="str">
        <f t="shared" si="3"/>
        <v>1000/KG</v>
      </c>
      <c r="I190" s="4">
        <v>1000.0</v>
      </c>
      <c r="J190" s="3" t="s">
        <v>35</v>
      </c>
      <c r="K190" s="16">
        <v>349.71</v>
      </c>
      <c r="L190" s="16"/>
    </row>
    <row r="191" ht="15.75" customHeight="1">
      <c r="A191" s="17" t="s">
        <v>16</v>
      </c>
      <c r="C191" s="4" t="s">
        <v>407</v>
      </c>
      <c r="D191" s="4" t="s">
        <v>408</v>
      </c>
      <c r="E191" s="4"/>
      <c r="F191" s="18" t="str">
        <f t="shared" si="12"/>
        <v>FOOD</v>
      </c>
      <c r="G191" s="18" t="s">
        <v>19</v>
      </c>
      <c r="H191" s="4" t="str">
        <f t="shared" si="3"/>
        <v>10/WHOLE</v>
      </c>
      <c r="I191" s="4">
        <v>10.0</v>
      </c>
      <c r="J191" s="3" t="s">
        <v>57</v>
      </c>
      <c r="K191" s="16">
        <v>309.41</v>
      </c>
      <c r="L191" s="16"/>
    </row>
    <row r="192" ht="15.75" customHeight="1">
      <c r="A192" s="17" t="s">
        <v>16</v>
      </c>
      <c r="C192" s="4" t="s">
        <v>409</v>
      </c>
      <c r="D192" s="4" t="s">
        <v>410</v>
      </c>
      <c r="E192" s="4"/>
      <c r="F192" s="18" t="str">
        <f t="shared" si="12"/>
        <v>FOOD</v>
      </c>
      <c r="G192" s="18" t="s">
        <v>19</v>
      </c>
      <c r="H192" s="4" t="str">
        <f t="shared" si="3"/>
        <v>1000/PACK</v>
      </c>
      <c r="I192" s="4">
        <v>1000.0</v>
      </c>
      <c r="J192" s="3" t="s">
        <v>23</v>
      </c>
      <c r="K192" s="16">
        <v>37.7</v>
      </c>
      <c r="L192" s="16"/>
    </row>
    <row r="193" ht="15.75" customHeight="1">
      <c r="A193" s="17" t="s">
        <v>16</v>
      </c>
      <c r="C193" s="20" t="s">
        <v>411</v>
      </c>
      <c r="D193" s="4" t="s">
        <v>412</v>
      </c>
      <c r="E193" s="4"/>
      <c r="F193" s="18" t="str">
        <f t="shared" si="12"/>
        <v>FOOD</v>
      </c>
      <c r="G193" s="18" t="s">
        <v>19</v>
      </c>
      <c r="H193" s="4" t="str">
        <f t="shared" si="3"/>
        <v>1/KG</v>
      </c>
      <c r="I193" s="4">
        <v>1.0</v>
      </c>
      <c r="J193" s="3" t="s">
        <v>35</v>
      </c>
      <c r="K193" s="16">
        <v>31.76</v>
      </c>
      <c r="L193" s="16"/>
    </row>
    <row r="194" ht="15.75" customHeight="1">
      <c r="A194" s="17" t="s">
        <v>16</v>
      </c>
      <c r="C194" s="4" t="s">
        <v>413</v>
      </c>
      <c r="D194" s="4" t="s">
        <v>414</v>
      </c>
      <c r="E194" s="4"/>
      <c r="F194" s="18" t="str">
        <f t="shared" si="12"/>
        <v>FOOD</v>
      </c>
      <c r="G194" s="18" t="s">
        <v>19</v>
      </c>
      <c r="H194" s="4" t="str">
        <f t="shared" si="3"/>
        <v>1/PC</v>
      </c>
      <c r="I194" s="4">
        <v>1.0</v>
      </c>
      <c r="J194" s="3" t="s">
        <v>42</v>
      </c>
      <c r="K194" s="16">
        <v>7.96</v>
      </c>
      <c r="L194" s="16"/>
    </row>
    <row r="195" ht="15.75" customHeight="1">
      <c r="A195" s="17" t="s">
        <v>16</v>
      </c>
      <c r="C195" s="4" t="s">
        <v>415</v>
      </c>
      <c r="D195" s="18" t="s">
        <v>416</v>
      </c>
      <c r="E195" s="4"/>
      <c r="F195" s="18" t="str">
        <f t="shared" si="12"/>
        <v>FOOD</v>
      </c>
      <c r="G195" s="18" t="s">
        <v>19</v>
      </c>
      <c r="H195" s="4" t="str">
        <f t="shared" si="3"/>
        <v>500/PACK</v>
      </c>
      <c r="I195" s="4">
        <v>500.0</v>
      </c>
      <c r="J195" s="3" t="s">
        <v>23</v>
      </c>
      <c r="K195" s="16">
        <v>58.9</v>
      </c>
      <c r="L195" s="16"/>
    </row>
    <row r="196" ht="15.75" customHeight="1">
      <c r="A196" s="17" t="s">
        <v>16</v>
      </c>
      <c r="C196" s="20" t="s">
        <v>417</v>
      </c>
      <c r="D196" s="3" t="s">
        <v>418</v>
      </c>
      <c r="E196" s="4"/>
      <c r="F196" s="18" t="str">
        <f t="shared" si="12"/>
        <v>FOOD</v>
      </c>
      <c r="G196" s="18" t="s">
        <v>19</v>
      </c>
      <c r="H196" s="4" t="str">
        <f t="shared" si="3"/>
        <v>1000/KG</v>
      </c>
      <c r="I196" s="4">
        <v>1000.0</v>
      </c>
      <c r="J196" s="3" t="s">
        <v>35</v>
      </c>
      <c r="K196" s="30">
        <v>253.13</v>
      </c>
      <c r="L196" s="30"/>
    </row>
    <row r="197" ht="15.75" customHeight="1">
      <c r="A197" s="17" t="s">
        <v>16</v>
      </c>
      <c r="C197" s="4" t="s">
        <v>419</v>
      </c>
      <c r="D197" s="4" t="s">
        <v>420</v>
      </c>
      <c r="E197" s="4"/>
      <c r="F197" s="18" t="str">
        <f t="shared" si="12"/>
        <v>FOOD</v>
      </c>
      <c r="G197" s="18" t="s">
        <v>19</v>
      </c>
      <c r="H197" s="4" t="str">
        <f t="shared" si="3"/>
        <v>1000/KG</v>
      </c>
      <c r="I197" s="4">
        <v>1000.0</v>
      </c>
      <c r="J197" s="3" t="s">
        <v>35</v>
      </c>
      <c r="K197" s="16">
        <v>825.0</v>
      </c>
      <c r="L197" s="16"/>
    </row>
    <row r="198" ht="15.75" customHeight="1">
      <c r="A198" s="17" t="s">
        <v>16</v>
      </c>
      <c r="C198" s="4" t="s">
        <v>421</v>
      </c>
      <c r="D198" s="4" t="s">
        <v>422</v>
      </c>
      <c r="E198" s="4"/>
      <c r="F198" s="18" t="str">
        <f t="shared" si="12"/>
        <v>FOOD</v>
      </c>
      <c r="G198" s="18" t="s">
        <v>19</v>
      </c>
      <c r="H198" s="4" t="str">
        <f t="shared" si="3"/>
        <v>1000/KG</v>
      </c>
      <c r="I198" s="4">
        <v>1000.0</v>
      </c>
      <c r="J198" s="3" t="s">
        <v>35</v>
      </c>
      <c r="K198" s="16">
        <v>458.73</v>
      </c>
      <c r="L198" s="16"/>
    </row>
    <row r="199" ht="15.75" customHeight="1">
      <c r="A199" s="17" t="s">
        <v>16</v>
      </c>
      <c r="C199" s="4" t="s">
        <v>423</v>
      </c>
      <c r="D199" s="4" t="s">
        <v>424</v>
      </c>
      <c r="E199" s="4"/>
      <c r="F199" s="18" t="str">
        <f t="shared" si="12"/>
        <v>FOOD</v>
      </c>
      <c r="G199" s="18" t="s">
        <v>19</v>
      </c>
      <c r="H199" s="4" t="str">
        <f t="shared" si="3"/>
        <v>1000/KG</v>
      </c>
      <c r="I199" s="4">
        <v>1000.0</v>
      </c>
      <c r="J199" s="3" t="s">
        <v>35</v>
      </c>
      <c r="K199" s="16">
        <v>1298.44</v>
      </c>
      <c r="L199" s="16"/>
    </row>
    <row r="200" ht="15.75" customHeight="1">
      <c r="A200" s="17" t="s">
        <v>16</v>
      </c>
      <c r="C200" s="4" t="s">
        <v>425</v>
      </c>
      <c r="D200" s="4" t="s">
        <v>426</v>
      </c>
      <c r="E200" s="4"/>
      <c r="F200" s="18" t="str">
        <f t="shared" si="12"/>
        <v>FOOD</v>
      </c>
      <c r="G200" s="18" t="s">
        <v>19</v>
      </c>
      <c r="H200" s="4" t="str">
        <f t="shared" si="3"/>
        <v>1000/KG</v>
      </c>
      <c r="I200" s="4">
        <v>1000.0</v>
      </c>
      <c r="J200" s="3" t="s">
        <v>35</v>
      </c>
      <c r="K200" s="16">
        <v>253.12</v>
      </c>
      <c r="L200" s="16"/>
    </row>
    <row r="201" ht="15.75" customHeight="1">
      <c r="A201" s="17" t="s">
        <v>16</v>
      </c>
      <c r="C201" s="4" t="s">
        <v>427</v>
      </c>
      <c r="D201" s="4" t="s">
        <v>428</v>
      </c>
      <c r="E201" s="4"/>
      <c r="F201" s="18" t="str">
        <f t="shared" si="12"/>
        <v>FOOD</v>
      </c>
      <c r="G201" s="18" t="s">
        <v>19</v>
      </c>
      <c r="H201" s="4" t="str">
        <f t="shared" si="3"/>
        <v>1000/LIT</v>
      </c>
      <c r="I201" s="4">
        <v>1000.0</v>
      </c>
      <c r="J201" s="3" t="s">
        <v>20</v>
      </c>
      <c r="K201" s="16">
        <v>82.43</v>
      </c>
      <c r="L201" s="16"/>
    </row>
    <row r="202" ht="15.75" customHeight="1">
      <c r="A202" s="17" t="s">
        <v>16</v>
      </c>
      <c r="C202" s="4" t="s">
        <v>429</v>
      </c>
      <c r="D202" s="4" t="s">
        <v>430</v>
      </c>
      <c r="E202" s="4"/>
      <c r="F202" s="18" t="str">
        <f t="shared" si="12"/>
        <v>FOOD</v>
      </c>
      <c r="G202" s="18" t="s">
        <v>19</v>
      </c>
      <c r="H202" s="4" t="str">
        <f t="shared" si="3"/>
        <v>1000/KG</v>
      </c>
      <c r="I202" s="4">
        <v>1000.0</v>
      </c>
      <c r="J202" s="3" t="s">
        <v>35</v>
      </c>
      <c r="K202" s="16">
        <v>56.25</v>
      </c>
      <c r="L202" s="16"/>
    </row>
    <row r="203" ht="15.75" customHeight="1">
      <c r="A203" s="17" t="s">
        <v>16</v>
      </c>
      <c r="C203" s="4" t="s">
        <v>431</v>
      </c>
      <c r="D203" s="4" t="s">
        <v>432</v>
      </c>
      <c r="E203" s="4"/>
      <c r="F203" s="18" t="str">
        <f t="shared" si="12"/>
        <v>FOOD</v>
      </c>
      <c r="G203" s="18" t="s">
        <v>19</v>
      </c>
      <c r="H203" s="4" t="str">
        <f t="shared" si="3"/>
        <v>1000/KG</v>
      </c>
      <c r="I203" s="4">
        <v>1000.0</v>
      </c>
      <c r="J203" s="3" t="s">
        <v>35</v>
      </c>
      <c r="K203" s="16">
        <v>58.99</v>
      </c>
      <c r="L203" s="16"/>
    </row>
    <row r="204" ht="15.75" customHeight="1">
      <c r="A204" s="17" t="s">
        <v>16</v>
      </c>
      <c r="C204" s="4" t="s">
        <v>433</v>
      </c>
      <c r="D204" s="4" t="s">
        <v>434</v>
      </c>
      <c r="E204" s="4"/>
      <c r="F204" s="18" t="str">
        <f t="shared" si="12"/>
        <v>FOOD</v>
      </c>
      <c r="G204" s="18" t="s">
        <v>19</v>
      </c>
      <c r="H204" s="4" t="str">
        <f t="shared" si="3"/>
        <v>1000/KG</v>
      </c>
      <c r="I204" s="4">
        <v>1000.0</v>
      </c>
      <c r="J204" s="3" t="s">
        <v>35</v>
      </c>
      <c r="K204" s="16">
        <v>49.88</v>
      </c>
      <c r="L204" s="16"/>
    </row>
    <row r="205" ht="15.75" customHeight="1">
      <c r="A205" s="17" t="s">
        <v>16</v>
      </c>
      <c r="C205" s="4" t="s">
        <v>435</v>
      </c>
      <c r="D205" s="4" t="s">
        <v>436</v>
      </c>
      <c r="E205" s="4"/>
      <c r="F205" s="18" t="str">
        <f t="shared" si="12"/>
        <v>FOOD</v>
      </c>
      <c r="G205" s="18" t="s">
        <v>19</v>
      </c>
      <c r="H205" s="4" t="str">
        <f t="shared" si="3"/>
        <v>1000/KG</v>
      </c>
      <c r="I205" s="4">
        <v>1000.0</v>
      </c>
      <c r="J205" s="3" t="s">
        <v>35</v>
      </c>
      <c r="K205" s="16">
        <v>37.13</v>
      </c>
      <c r="L205" s="16"/>
    </row>
    <row r="206" ht="15.75" customHeight="1">
      <c r="A206" s="17" t="s">
        <v>16</v>
      </c>
      <c r="C206" s="4" t="s">
        <v>437</v>
      </c>
      <c r="D206" s="4" t="s">
        <v>438</v>
      </c>
      <c r="E206" s="4"/>
      <c r="F206" s="18" t="str">
        <f t="shared" si="12"/>
        <v>FOOD</v>
      </c>
      <c r="G206" s="18" t="s">
        <v>19</v>
      </c>
      <c r="H206" s="4" t="str">
        <f t="shared" si="3"/>
        <v>4/PACK</v>
      </c>
      <c r="I206" s="4">
        <v>4.0</v>
      </c>
      <c r="J206" s="3" t="s">
        <v>23</v>
      </c>
      <c r="K206" s="16">
        <v>21.200000000000003</v>
      </c>
      <c r="L206" s="16"/>
    </row>
    <row r="207" ht="15.75" customHeight="1">
      <c r="A207" s="17" t="s">
        <v>16</v>
      </c>
      <c r="C207" s="20" t="s">
        <v>439</v>
      </c>
      <c r="D207" s="4" t="s">
        <v>440</v>
      </c>
      <c r="E207" s="4"/>
      <c r="F207" s="18" t="str">
        <f t="shared" si="12"/>
        <v>FOOD</v>
      </c>
      <c r="G207" s="18" t="s">
        <v>19</v>
      </c>
      <c r="H207" s="4" t="str">
        <f t="shared" si="3"/>
        <v>1/Pack</v>
      </c>
      <c r="I207" s="18">
        <v>1.0</v>
      </c>
      <c r="J207" s="3" t="s">
        <v>441</v>
      </c>
      <c r="K207" s="16">
        <v>38.9</v>
      </c>
      <c r="L207" s="16"/>
    </row>
    <row r="208" ht="15.75" customHeight="1">
      <c r="A208" s="17" t="s">
        <v>16</v>
      </c>
      <c r="C208" s="4" t="s">
        <v>442</v>
      </c>
      <c r="D208" s="4" t="s">
        <v>443</v>
      </c>
      <c r="E208" s="4"/>
      <c r="F208" s="18" t="s">
        <v>40</v>
      </c>
      <c r="G208" s="18" t="s">
        <v>41</v>
      </c>
      <c r="H208" s="4" t="str">
        <f t="shared" si="3"/>
        <v>1/PC</v>
      </c>
      <c r="I208" s="4">
        <v>1.0</v>
      </c>
      <c r="J208" s="3" t="s">
        <v>42</v>
      </c>
      <c r="K208" s="16">
        <v>0.74</v>
      </c>
      <c r="L208" s="16"/>
    </row>
    <row r="209" ht="15.75" customHeight="1">
      <c r="A209" s="17" t="s">
        <v>16</v>
      </c>
      <c r="C209" s="20" t="s">
        <v>442</v>
      </c>
      <c r="D209" s="21" t="s">
        <v>444</v>
      </c>
      <c r="E209" s="4"/>
      <c r="F209" s="18" t="s">
        <v>40</v>
      </c>
      <c r="G209" s="18" t="s">
        <v>41</v>
      </c>
      <c r="H209" s="4" t="str">
        <f t="shared" si="3"/>
        <v>100/PACK(100)</v>
      </c>
      <c r="I209" s="31">
        <v>100.0</v>
      </c>
      <c r="J209" s="24" t="s">
        <v>445</v>
      </c>
      <c r="K209" s="16">
        <v>73.12</v>
      </c>
      <c r="L209" s="16"/>
    </row>
    <row r="210" ht="15.75" customHeight="1">
      <c r="A210" s="17" t="s">
        <v>16</v>
      </c>
      <c r="C210" s="4" t="s">
        <v>446</v>
      </c>
      <c r="D210" s="4" t="s">
        <v>447</v>
      </c>
      <c r="E210" s="4"/>
      <c r="F210" s="18" t="s">
        <v>40</v>
      </c>
      <c r="G210" s="18" t="s">
        <v>448</v>
      </c>
      <c r="H210" s="4" t="str">
        <f t="shared" si="3"/>
        <v>1/PC</v>
      </c>
      <c r="I210" s="4">
        <v>1.0</v>
      </c>
      <c r="J210" s="3" t="s">
        <v>42</v>
      </c>
      <c r="K210" s="16">
        <v>88.09</v>
      </c>
      <c r="L210" s="16"/>
    </row>
    <row r="211" ht="15.75" customHeight="1">
      <c r="A211" s="17" t="s">
        <v>16</v>
      </c>
      <c r="C211" s="20" t="s">
        <v>446</v>
      </c>
      <c r="D211" s="4" t="s">
        <v>449</v>
      </c>
      <c r="E211" s="4"/>
      <c r="F211" s="18" t="s">
        <v>40</v>
      </c>
      <c r="G211" s="18" t="s">
        <v>448</v>
      </c>
      <c r="H211" s="4" t="str">
        <f t="shared" si="3"/>
        <v>50/PAD(50)</v>
      </c>
      <c r="I211" s="18">
        <v>50.0</v>
      </c>
      <c r="J211" s="3" t="s">
        <v>450</v>
      </c>
      <c r="K211" s="16">
        <v>77.7</v>
      </c>
      <c r="L211" s="16"/>
    </row>
    <row r="212" ht="15.75" customHeight="1">
      <c r="A212" s="17" t="s">
        <v>16</v>
      </c>
      <c r="C212" s="20" t="s">
        <v>451</v>
      </c>
      <c r="D212" s="4" t="s">
        <v>452</v>
      </c>
      <c r="E212" s="4"/>
      <c r="F212" s="18" t="s">
        <v>40</v>
      </c>
      <c r="G212" s="18" t="s">
        <v>448</v>
      </c>
      <c r="H212" s="4" t="str">
        <f t="shared" si="3"/>
        <v>1/SHEETS</v>
      </c>
      <c r="I212" s="4">
        <v>1.0</v>
      </c>
      <c r="J212" s="3" t="s">
        <v>453</v>
      </c>
      <c r="K212" s="16">
        <v>0.84</v>
      </c>
      <c r="L212" s="16"/>
    </row>
    <row r="213" ht="15.75" customHeight="1">
      <c r="A213" s="17" t="s">
        <v>16</v>
      </c>
      <c r="C213" s="20" t="s">
        <v>451</v>
      </c>
      <c r="D213" s="4" t="s">
        <v>454</v>
      </c>
      <c r="E213" s="4"/>
      <c r="F213" s="18" t="s">
        <v>40</v>
      </c>
      <c r="G213" s="18" t="s">
        <v>448</v>
      </c>
      <c r="H213" s="4" t="str">
        <f t="shared" si="3"/>
        <v>50/PAD(50)</v>
      </c>
      <c r="I213" s="18">
        <v>50.0</v>
      </c>
      <c r="J213" s="3" t="s">
        <v>450</v>
      </c>
      <c r="K213" s="16">
        <v>32.81</v>
      </c>
      <c r="L213" s="16"/>
    </row>
    <row r="214" ht="15.75" customHeight="1">
      <c r="A214" s="17" t="s">
        <v>16</v>
      </c>
      <c r="C214" s="20" t="s">
        <v>455</v>
      </c>
      <c r="D214" s="4" t="s">
        <v>456</v>
      </c>
      <c r="E214" s="4"/>
      <c r="F214" s="18" t="str">
        <f t="shared" ref="F214:F223" si="13">G214</f>
        <v>FOOD</v>
      </c>
      <c r="G214" s="18" t="s">
        <v>19</v>
      </c>
      <c r="H214" s="4" t="str">
        <f t="shared" si="3"/>
        <v>1/PACK</v>
      </c>
      <c r="I214" s="18">
        <v>1.0</v>
      </c>
      <c r="J214" s="3" t="s">
        <v>23</v>
      </c>
      <c r="K214" s="16">
        <v>898.9</v>
      </c>
      <c r="L214" s="16"/>
    </row>
    <row r="215" ht="15.75" customHeight="1">
      <c r="A215" s="17" t="s">
        <v>16</v>
      </c>
      <c r="C215" s="20" t="s">
        <v>457</v>
      </c>
      <c r="D215" s="4" t="s">
        <v>458</v>
      </c>
      <c r="E215" s="4"/>
      <c r="F215" s="18" t="str">
        <f t="shared" si="13"/>
        <v>FOOD</v>
      </c>
      <c r="G215" s="18" t="s">
        <v>19</v>
      </c>
      <c r="H215" s="4" t="str">
        <f t="shared" si="3"/>
        <v>1000/KG</v>
      </c>
      <c r="I215" s="4">
        <v>1000.0</v>
      </c>
      <c r="J215" s="3" t="s">
        <v>35</v>
      </c>
      <c r="K215" s="16">
        <v>438.28</v>
      </c>
      <c r="L215" s="16"/>
    </row>
    <row r="216" ht="15.75" customHeight="1">
      <c r="A216" s="17" t="s">
        <v>16</v>
      </c>
      <c r="C216" s="4" t="s">
        <v>459</v>
      </c>
      <c r="D216" s="4" t="s">
        <v>460</v>
      </c>
      <c r="E216" s="4"/>
      <c r="F216" s="18" t="str">
        <f t="shared" si="13"/>
        <v>FOOD</v>
      </c>
      <c r="G216" s="18" t="s">
        <v>19</v>
      </c>
      <c r="H216" s="4" t="str">
        <f t="shared" si="3"/>
        <v>1000/KG</v>
      </c>
      <c r="I216" s="4">
        <v>1000.0</v>
      </c>
      <c r="J216" s="3" t="s">
        <v>35</v>
      </c>
      <c r="K216" s="16">
        <v>309.75</v>
      </c>
      <c r="L216" s="16"/>
    </row>
    <row r="217" ht="15.75" customHeight="1">
      <c r="A217" s="17" t="s">
        <v>16</v>
      </c>
      <c r="C217" s="4" t="s">
        <v>461</v>
      </c>
      <c r="D217" s="4" t="s">
        <v>462</v>
      </c>
      <c r="E217" s="4"/>
      <c r="F217" s="18" t="str">
        <f t="shared" si="13"/>
        <v>FOOD</v>
      </c>
      <c r="G217" s="18" t="s">
        <v>19</v>
      </c>
      <c r="H217" s="4" t="str">
        <f t="shared" si="3"/>
        <v>1000/KG</v>
      </c>
      <c r="I217" s="4">
        <v>1000.0</v>
      </c>
      <c r="J217" s="3" t="s">
        <v>35</v>
      </c>
      <c r="K217" s="16">
        <v>220.48</v>
      </c>
      <c r="L217" s="16"/>
    </row>
    <row r="218" ht="15.75" customHeight="1">
      <c r="A218" s="17" t="s">
        <v>16</v>
      </c>
      <c r="C218" s="4" t="s">
        <v>463</v>
      </c>
      <c r="D218" s="4" t="s">
        <v>464</v>
      </c>
      <c r="E218" s="4"/>
      <c r="F218" s="18" t="str">
        <f t="shared" si="13"/>
        <v>FOOD</v>
      </c>
      <c r="G218" s="18" t="s">
        <v>19</v>
      </c>
      <c r="H218" s="4" t="str">
        <f t="shared" si="3"/>
        <v>6/PACK</v>
      </c>
      <c r="I218" s="4">
        <v>6.0</v>
      </c>
      <c r="J218" s="3" t="s">
        <v>23</v>
      </c>
      <c r="K218" s="16">
        <v>87.1</v>
      </c>
      <c r="L218" s="16"/>
    </row>
    <row r="219" ht="15.75" customHeight="1">
      <c r="A219" s="17" t="s">
        <v>16</v>
      </c>
      <c r="C219" s="20" t="s">
        <v>465</v>
      </c>
      <c r="D219" s="4" t="s">
        <v>466</v>
      </c>
      <c r="E219" s="4"/>
      <c r="F219" s="18" t="str">
        <f t="shared" si="13"/>
        <v>FOOD</v>
      </c>
      <c r="G219" s="18" t="s">
        <v>19</v>
      </c>
      <c r="H219" s="4" t="str">
        <f t="shared" si="3"/>
        <v>1000/KG</v>
      </c>
      <c r="I219" s="4">
        <v>1000.0</v>
      </c>
      <c r="J219" s="3" t="s">
        <v>35</v>
      </c>
      <c r="K219" s="16">
        <v>279.23</v>
      </c>
      <c r="L219" s="16"/>
    </row>
    <row r="220" ht="15.75" customHeight="1">
      <c r="A220" s="17" t="s">
        <v>16</v>
      </c>
      <c r="C220" s="20" t="s">
        <v>467</v>
      </c>
      <c r="D220" s="4" t="s">
        <v>468</v>
      </c>
      <c r="E220" s="4"/>
      <c r="F220" s="18" t="str">
        <f t="shared" si="13"/>
        <v>FOOD</v>
      </c>
      <c r="G220" s="18" t="s">
        <v>19</v>
      </c>
      <c r="H220" s="4" t="str">
        <f t="shared" si="3"/>
        <v>1000/KG</v>
      </c>
      <c r="I220" s="4">
        <v>1000.0</v>
      </c>
      <c r="J220" s="3" t="s">
        <v>35</v>
      </c>
      <c r="K220" s="16">
        <v>261.45</v>
      </c>
      <c r="L220" s="16"/>
    </row>
    <row r="221" ht="15.75" customHeight="1">
      <c r="A221" s="17" t="s">
        <v>16</v>
      </c>
      <c r="C221" s="4" t="s">
        <v>469</v>
      </c>
      <c r="D221" s="4" t="s">
        <v>470</v>
      </c>
      <c r="E221" s="4"/>
      <c r="F221" s="18" t="str">
        <f t="shared" si="13"/>
        <v>FOOD</v>
      </c>
      <c r="G221" s="18" t="s">
        <v>19</v>
      </c>
      <c r="H221" s="4" t="str">
        <f t="shared" si="3"/>
        <v>500/PACK</v>
      </c>
      <c r="I221" s="4">
        <v>500.0</v>
      </c>
      <c r="J221" s="3" t="s">
        <v>23</v>
      </c>
      <c r="K221" s="16">
        <v>602.3529411764706</v>
      </c>
      <c r="L221" s="16"/>
    </row>
    <row r="222" ht="15.75" customHeight="1">
      <c r="A222" s="17" t="s">
        <v>16</v>
      </c>
      <c r="C222" s="20" t="s">
        <v>471</v>
      </c>
      <c r="D222" s="21" t="s">
        <v>472</v>
      </c>
      <c r="E222" s="4"/>
      <c r="F222" s="18" t="str">
        <f t="shared" si="13"/>
        <v>FOOD</v>
      </c>
      <c r="G222" s="18" t="s">
        <v>19</v>
      </c>
      <c r="H222" s="4" t="str">
        <f t="shared" si="3"/>
        <v>1/PACK</v>
      </c>
      <c r="I222" s="4">
        <v>1.0</v>
      </c>
      <c r="J222" s="3" t="s">
        <v>23</v>
      </c>
      <c r="K222" s="16">
        <v>598.8235294117648</v>
      </c>
      <c r="L222" s="16"/>
    </row>
    <row r="223" ht="15.75" customHeight="1">
      <c r="A223" s="17" t="s">
        <v>16</v>
      </c>
      <c r="C223" s="20" t="s">
        <v>473</v>
      </c>
      <c r="D223" s="3" t="s">
        <v>474</v>
      </c>
      <c r="E223" s="4"/>
      <c r="F223" s="18" t="str">
        <f t="shared" si="13"/>
        <v>FOOD</v>
      </c>
      <c r="G223" s="18" t="s">
        <v>19</v>
      </c>
      <c r="H223" s="4" t="str">
        <f t="shared" si="3"/>
        <v>8/BOT</v>
      </c>
      <c r="I223" s="4">
        <v>8.0</v>
      </c>
      <c r="J223" s="3" t="s">
        <v>113</v>
      </c>
      <c r="K223" s="16">
        <v>170.1</v>
      </c>
      <c r="L223" s="16"/>
    </row>
    <row r="224" ht="15.75" customHeight="1">
      <c r="A224" s="17" t="s">
        <v>16</v>
      </c>
      <c r="C224" s="20" t="s">
        <v>475</v>
      </c>
      <c r="D224" s="4" t="s">
        <v>476</v>
      </c>
      <c r="E224" s="4"/>
      <c r="F224" s="18" t="s">
        <v>40</v>
      </c>
      <c r="G224" s="18" t="s">
        <v>41</v>
      </c>
      <c r="H224" s="4" t="str">
        <f t="shared" si="3"/>
        <v>1/PC</v>
      </c>
      <c r="I224" s="18">
        <v>1.0</v>
      </c>
      <c r="J224" s="3" t="s">
        <v>42</v>
      </c>
      <c r="K224" s="16">
        <v>2.53</v>
      </c>
      <c r="L224" s="16"/>
    </row>
    <row r="225" ht="15.75" customHeight="1">
      <c r="A225" s="17" t="s">
        <v>16</v>
      </c>
      <c r="C225" s="20" t="s">
        <v>477</v>
      </c>
      <c r="D225" s="4" t="s">
        <v>478</v>
      </c>
      <c r="E225" s="4"/>
      <c r="F225" s="18" t="s">
        <v>40</v>
      </c>
      <c r="G225" s="18" t="s">
        <v>41</v>
      </c>
      <c r="H225" s="4" t="str">
        <f t="shared" si="3"/>
        <v>100/PACK</v>
      </c>
      <c r="I225" s="18">
        <v>100.0</v>
      </c>
      <c r="J225" s="3" t="s">
        <v>23</v>
      </c>
      <c r="K225" s="16">
        <v>4.28</v>
      </c>
      <c r="L225" s="16"/>
    </row>
    <row r="226" ht="15.75" customHeight="1">
      <c r="A226" s="17" t="s">
        <v>16</v>
      </c>
      <c r="C226" s="20" t="s">
        <v>479</v>
      </c>
      <c r="D226" s="4" t="s">
        <v>480</v>
      </c>
      <c r="E226" s="4"/>
      <c r="F226" s="18" t="str">
        <f t="shared" ref="F226:F227" si="14">G226</f>
        <v>FOOD</v>
      </c>
      <c r="G226" s="18" t="s">
        <v>19</v>
      </c>
      <c r="H226" s="4" t="str">
        <f t="shared" si="3"/>
        <v>24/PACK</v>
      </c>
      <c r="I226" s="4">
        <v>24.0</v>
      </c>
      <c r="J226" s="3" t="s">
        <v>23</v>
      </c>
      <c r="K226" s="16">
        <v>196.5</v>
      </c>
      <c r="L226" s="16"/>
    </row>
    <row r="227" ht="15.75" customHeight="1">
      <c r="A227" s="17" t="s">
        <v>16</v>
      </c>
      <c r="C227" s="20" t="s">
        <v>481</v>
      </c>
      <c r="D227" s="4" t="s">
        <v>482</v>
      </c>
      <c r="E227" s="4"/>
      <c r="F227" s="18" t="str">
        <f t="shared" si="14"/>
        <v>FOOD</v>
      </c>
      <c r="G227" s="18" t="s">
        <v>19</v>
      </c>
      <c r="H227" s="4" t="str">
        <f t="shared" si="3"/>
        <v>3/PACK</v>
      </c>
      <c r="I227" s="18">
        <v>3.0</v>
      </c>
      <c r="J227" s="3" t="s">
        <v>23</v>
      </c>
      <c r="K227" s="16">
        <v>4.54</v>
      </c>
      <c r="L227" s="16"/>
    </row>
    <row r="228" ht="15.75" customHeight="1">
      <c r="A228" s="17" t="s">
        <v>16</v>
      </c>
      <c r="C228" s="4" t="s">
        <v>483</v>
      </c>
      <c r="D228" s="4" t="s">
        <v>484</v>
      </c>
      <c r="E228" s="4"/>
      <c r="F228" s="18" t="s">
        <v>40</v>
      </c>
      <c r="G228" s="18" t="s">
        <v>41</v>
      </c>
      <c r="H228" s="4" t="str">
        <f t="shared" si="3"/>
        <v>1/PC</v>
      </c>
      <c r="I228" s="4">
        <v>1.0</v>
      </c>
      <c r="J228" s="3" t="s">
        <v>42</v>
      </c>
      <c r="K228" s="16">
        <v>0.22</v>
      </c>
      <c r="L228" s="16"/>
    </row>
    <row r="229" ht="15.75" customHeight="1">
      <c r="A229" s="17" t="s">
        <v>16</v>
      </c>
      <c r="C229" s="20" t="s">
        <v>483</v>
      </c>
      <c r="D229" s="21" t="s">
        <v>485</v>
      </c>
      <c r="E229" s="4"/>
      <c r="F229" s="18" t="s">
        <v>40</v>
      </c>
      <c r="G229" s="18" t="s">
        <v>41</v>
      </c>
      <c r="H229" s="4" t="str">
        <f t="shared" si="3"/>
        <v>100/PACK(100)</v>
      </c>
      <c r="I229" s="4">
        <v>100.0</v>
      </c>
      <c r="J229" s="3" t="s">
        <v>445</v>
      </c>
      <c r="K229" s="16">
        <v>22.5</v>
      </c>
      <c r="L229" s="16"/>
    </row>
    <row r="230" ht="15.75" customHeight="1">
      <c r="A230" s="17" t="s">
        <v>16</v>
      </c>
      <c r="C230" s="20" t="s">
        <v>486</v>
      </c>
      <c r="D230" s="4" t="s">
        <v>487</v>
      </c>
      <c r="E230" s="4"/>
      <c r="F230" s="18" t="s">
        <v>40</v>
      </c>
      <c r="G230" s="18" t="s">
        <v>41</v>
      </c>
      <c r="H230" s="4" t="str">
        <f t="shared" si="3"/>
        <v>100/PACK(100)</v>
      </c>
      <c r="I230" s="18">
        <v>100.0</v>
      </c>
      <c r="J230" s="3" t="s">
        <v>445</v>
      </c>
      <c r="K230" s="16">
        <v>253.13</v>
      </c>
      <c r="L230" s="16"/>
    </row>
    <row r="231" ht="15.75" customHeight="1">
      <c r="A231" s="17" t="s">
        <v>16</v>
      </c>
      <c r="C231" s="4" t="s">
        <v>488</v>
      </c>
      <c r="D231" s="4" t="s">
        <v>489</v>
      </c>
      <c r="E231" s="4"/>
      <c r="F231" s="18" t="str">
        <f>G231</f>
        <v>FOOD</v>
      </c>
      <c r="G231" s="18" t="s">
        <v>19</v>
      </c>
      <c r="H231" s="4" t="str">
        <f t="shared" si="3"/>
        <v>1000/KG</v>
      </c>
      <c r="I231" s="4">
        <v>1000.0</v>
      </c>
      <c r="J231" s="3" t="s">
        <v>35</v>
      </c>
      <c r="K231" s="16">
        <v>1575.0</v>
      </c>
      <c r="L231" s="16"/>
    </row>
    <row r="232" ht="15.75" customHeight="1">
      <c r="A232" s="17" t="s">
        <v>16</v>
      </c>
      <c r="C232" s="4" t="s">
        <v>490</v>
      </c>
      <c r="D232" s="4" t="s">
        <v>491</v>
      </c>
      <c r="E232" s="4"/>
      <c r="F232" s="18" t="s">
        <v>40</v>
      </c>
      <c r="G232" s="18" t="s">
        <v>367</v>
      </c>
      <c r="H232" s="4" t="str">
        <f t="shared" si="3"/>
        <v>1/PC</v>
      </c>
      <c r="I232" s="4">
        <v>1.0</v>
      </c>
      <c r="J232" s="3" t="s">
        <v>42</v>
      </c>
      <c r="K232" s="16">
        <v>1.69</v>
      </c>
      <c r="L232" s="16"/>
    </row>
    <row r="233" ht="15.75" customHeight="1">
      <c r="A233" s="17" t="s">
        <v>16</v>
      </c>
      <c r="C233" s="20" t="s">
        <v>492</v>
      </c>
      <c r="D233" s="4" t="s">
        <v>493</v>
      </c>
      <c r="E233" s="4"/>
      <c r="F233" s="18" t="s">
        <v>40</v>
      </c>
      <c r="G233" s="18" t="s">
        <v>367</v>
      </c>
      <c r="H233" s="4" t="str">
        <f t="shared" si="3"/>
        <v>500/PACK(500)</v>
      </c>
      <c r="I233" s="18">
        <v>500.0</v>
      </c>
      <c r="J233" s="3" t="s">
        <v>494</v>
      </c>
      <c r="K233" s="16">
        <v>412.5</v>
      </c>
      <c r="L233" s="16"/>
    </row>
    <row r="234" ht="15.75" customHeight="1">
      <c r="A234" s="17" t="s">
        <v>16</v>
      </c>
      <c r="C234" s="4" t="s">
        <v>495</v>
      </c>
      <c r="D234" s="4" t="s">
        <v>496</v>
      </c>
      <c r="E234" s="4"/>
      <c r="F234" s="18" t="s">
        <v>40</v>
      </c>
      <c r="G234" s="18" t="s">
        <v>367</v>
      </c>
      <c r="H234" s="4" t="str">
        <f t="shared" si="3"/>
        <v>1/PC</v>
      </c>
      <c r="I234" s="4">
        <v>1.0</v>
      </c>
      <c r="J234" s="3" t="s">
        <v>42</v>
      </c>
      <c r="K234" s="16">
        <v>0.82</v>
      </c>
      <c r="L234" s="16"/>
    </row>
    <row r="235" ht="15.75" customHeight="1">
      <c r="A235" s="17" t="s">
        <v>16</v>
      </c>
      <c r="C235" s="4" t="s">
        <v>497</v>
      </c>
      <c r="D235" s="4" t="s">
        <v>498</v>
      </c>
      <c r="E235" s="4"/>
      <c r="F235" s="18" t="s">
        <v>40</v>
      </c>
      <c r="G235" s="18" t="s">
        <v>367</v>
      </c>
      <c r="H235" s="4" t="str">
        <f t="shared" si="3"/>
        <v>1000/PC</v>
      </c>
      <c r="I235" s="4">
        <v>1000.0</v>
      </c>
      <c r="J235" s="3" t="s">
        <v>42</v>
      </c>
      <c r="K235" s="16">
        <v>3.19</v>
      </c>
      <c r="L235" s="16"/>
    </row>
    <row r="236" ht="15.75" customHeight="1">
      <c r="A236" s="17" t="s">
        <v>16</v>
      </c>
      <c r="C236" s="20" t="s">
        <v>497</v>
      </c>
      <c r="D236" s="4" t="s">
        <v>499</v>
      </c>
      <c r="E236" s="4"/>
      <c r="F236" s="18" t="s">
        <v>40</v>
      </c>
      <c r="G236" s="18" t="s">
        <v>367</v>
      </c>
      <c r="H236" s="4" t="str">
        <f t="shared" si="3"/>
        <v>1000/PACK(1000)</v>
      </c>
      <c r="I236" s="23">
        <v>1000.0</v>
      </c>
      <c r="J236" s="24" t="s">
        <v>500</v>
      </c>
      <c r="K236" s="16">
        <v>1593.75</v>
      </c>
      <c r="L236" s="16"/>
    </row>
    <row r="237" ht="15.75" customHeight="1">
      <c r="A237" s="17" t="s">
        <v>16</v>
      </c>
      <c r="C237" s="4" t="s">
        <v>501</v>
      </c>
      <c r="D237" s="4" t="s">
        <v>502</v>
      </c>
      <c r="E237" s="4"/>
      <c r="F237" s="18" t="s">
        <v>40</v>
      </c>
      <c r="G237" s="18" t="s">
        <v>367</v>
      </c>
      <c r="H237" s="4" t="str">
        <f t="shared" si="3"/>
        <v>1/PC</v>
      </c>
      <c r="I237" s="4">
        <v>1.0</v>
      </c>
      <c r="J237" s="3" t="s">
        <v>42</v>
      </c>
      <c r="K237" s="16">
        <v>1.43</v>
      </c>
      <c r="L237" s="16"/>
    </row>
    <row r="238" ht="15.75" customHeight="1">
      <c r="A238" s="17" t="s">
        <v>16</v>
      </c>
      <c r="C238" s="4" t="s">
        <v>503</v>
      </c>
      <c r="D238" s="4" t="s">
        <v>504</v>
      </c>
      <c r="E238" s="4"/>
      <c r="F238" s="18" t="str">
        <f t="shared" ref="F238:F260" si="15">G238</f>
        <v>FOOD</v>
      </c>
      <c r="G238" s="18" t="s">
        <v>19</v>
      </c>
      <c r="H238" s="4" t="str">
        <f t="shared" si="3"/>
        <v>1000/KG</v>
      </c>
      <c r="I238" s="4">
        <v>1000.0</v>
      </c>
      <c r="J238" s="3" t="s">
        <v>35</v>
      </c>
      <c r="K238" s="16">
        <v>506.25</v>
      </c>
      <c r="L238" s="16"/>
    </row>
    <row r="239" ht="15.75" customHeight="1">
      <c r="A239" s="17" t="s">
        <v>16</v>
      </c>
      <c r="C239" s="4" t="s">
        <v>505</v>
      </c>
      <c r="D239" s="4" t="s">
        <v>506</v>
      </c>
      <c r="E239" s="4"/>
      <c r="F239" s="18" t="str">
        <f t="shared" si="15"/>
        <v>FOOD</v>
      </c>
      <c r="G239" s="18" t="s">
        <v>19</v>
      </c>
      <c r="H239" s="4" t="str">
        <f t="shared" si="3"/>
        <v>1000/KG</v>
      </c>
      <c r="I239" s="4">
        <v>1000.0</v>
      </c>
      <c r="J239" s="3" t="s">
        <v>35</v>
      </c>
      <c r="K239" s="16">
        <v>450.0</v>
      </c>
      <c r="L239" s="16"/>
    </row>
    <row r="240" ht="15.75" customHeight="1">
      <c r="A240" s="17" t="s">
        <v>16</v>
      </c>
      <c r="C240" s="4" t="s">
        <v>507</v>
      </c>
      <c r="D240" s="4" t="s">
        <v>508</v>
      </c>
      <c r="E240" s="4"/>
      <c r="F240" s="18" t="str">
        <f t="shared" si="15"/>
        <v>FOOD</v>
      </c>
      <c r="G240" s="18" t="s">
        <v>19</v>
      </c>
      <c r="H240" s="4" t="str">
        <f t="shared" si="3"/>
        <v>4/pack</v>
      </c>
      <c r="I240" s="28">
        <v>4.0</v>
      </c>
      <c r="J240" s="29" t="s">
        <v>134</v>
      </c>
      <c r="K240" s="16">
        <v>240.0</v>
      </c>
      <c r="L240" s="16"/>
    </row>
    <row r="241" ht="15.75" customHeight="1">
      <c r="A241" s="17" t="s">
        <v>16</v>
      </c>
      <c r="C241" s="20" t="s">
        <v>509</v>
      </c>
      <c r="D241" s="21" t="s">
        <v>510</v>
      </c>
      <c r="E241" s="4"/>
      <c r="F241" s="18" t="str">
        <f t="shared" si="15"/>
        <v>BEVERAGE</v>
      </c>
      <c r="G241" s="18" t="s">
        <v>54</v>
      </c>
      <c r="H241" s="4" t="str">
        <f t="shared" si="3"/>
        <v>1000/BOTTLE</v>
      </c>
      <c r="I241" s="4">
        <v>1000.0</v>
      </c>
      <c r="J241" s="3" t="s">
        <v>511</v>
      </c>
      <c r="K241" s="16">
        <v>89.46</v>
      </c>
      <c r="L241" s="16"/>
    </row>
    <row r="242" ht="15.75" customHeight="1">
      <c r="A242" s="17" t="s">
        <v>16</v>
      </c>
      <c r="C242" s="20" t="s">
        <v>512</v>
      </c>
      <c r="D242" s="4" t="s">
        <v>513</v>
      </c>
      <c r="E242" s="4"/>
      <c r="F242" s="18" t="str">
        <f t="shared" si="15"/>
        <v>FOOD</v>
      </c>
      <c r="G242" s="18" t="s">
        <v>19</v>
      </c>
      <c r="H242" s="4" t="str">
        <f t="shared" si="3"/>
        <v>4/PACK</v>
      </c>
      <c r="I242" s="18">
        <v>4.0</v>
      </c>
      <c r="J242" s="3" t="s">
        <v>23</v>
      </c>
      <c r="K242" s="16">
        <v>187.1</v>
      </c>
      <c r="L242" s="16"/>
    </row>
    <row r="243" ht="15.75" customHeight="1">
      <c r="A243" s="17" t="s">
        <v>16</v>
      </c>
      <c r="C243" s="20" t="s">
        <v>514</v>
      </c>
      <c r="D243" s="4" t="s">
        <v>515</v>
      </c>
      <c r="E243" s="4"/>
      <c r="F243" s="18" t="str">
        <f t="shared" si="15"/>
        <v>FOOD</v>
      </c>
      <c r="G243" s="18" t="s">
        <v>19</v>
      </c>
      <c r="H243" s="4" t="str">
        <f t="shared" si="3"/>
        <v>1000/KG</v>
      </c>
      <c r="I243" s="25">
        <v>1000.0</v>
      </c>
      <c r="J243" s="29" t="s">
        <v>35</v>
      </c>
      <c r="K243" s="32">
        <v>1550.751879699248</v>
      </c>
      <c r="L243" s="16"/>
    </row>
    <row r="244" ht="15.75" customHeight="1">
      <c r="A244" s="17" t="s">
        <v>16</v>
      </c>
      <c r="C244" s="4" t="s">
        <v>516</v>
      </c>
      <c r="D244" s="4" t="s">
        <v>517</v>
      </c>
      <c r="E244" s="4"/>
      <c r="F244" s="18" t="str">
        <f t="shared" si="15"/>
        <v>FOOD</v>
      </c>
      <c r="G244" s="18" t="s">
        <v>19</v>
      </c>
      <c r="H244" s="4" t="str">
        <f t="shared" si="3"/>
        <v>1/LOAF</v>
      </c>
      <c r="I244" s="4">
        <v>1.0</v>
      </c>
      <c r="J244" s="3" t="s">
        <v>171</v>
      </c>
      <c r="K244" s="16">
        <v>76.47</v>
      </c>
      <c r="L244" s="16"/>
    </row>
    <row r="245" ht="15.75" customHeight="1">
      <c r="A245" s="17" t="s">
        <v>16</v>
      </c>
      <c r="C245" s="20" t="s">
        <v>518</v>
      </c>
      <c r="D245" s="4" t="s">
        <v>519</v>
      </c>
      <c r="E245" s="4"/>
      <c r="F245" s="18" t="str">
        <f t="shared" si="15"/>
        <v>FOOD</v>
      </c>
      <c r="G245" s="18" t="s">
        <v>19</v>
      </c>
      <c r="H245" s="4" t="str">
        <f t="shared" si="3"/>
        <v>250/PACK</v>
      </c>
      <c r="I245" s="18">
        <v>250.0</v>
      </c>
      <c r="J245" s="3" t="s">
        <v>23</v>
      </c>
      <c r="K245" s="16">
        <v>30.93</v>
      </c>
      <c r="L245" s="16"/>
    </row>
    <row r="246" ht="15.75" customHeight="1">
      <c r="A246" s="17" t="s">
        <v>16</v>
      </c>
      <c r="C246" s="4" t="s">
        <v>520</v>
      </c>
      <c r="D246" s="4" t="s">
        <v>521</v>
      </c>
      <c r="E246" s="4"/>
      <c r="F246" s="18" t="str">
        <f t="shared" si="15"/>
        <v>FOOD</v>
      </c>
      <c r="G246" s="18" t="s">
        <v>19</v>
      </c>
      <c r="H246" s="4" t="str">
        <f t="shared" si="3"/>
        <v>1000/LIT</v>
      </c>
      <c r="I246" s="4">
        <v>1000.0</v>
      </c>
      <c r="J246" s="3" t="s">
        <v>20</v>
      </c>
      <c r="K246" s="16">
        <v>461.48</v>
      </c>
      <c r="L246" s="16"/>
    </row>
    <row r="247" ht="15.75" customHeight="1">
      <c r="A247" s="17" t="s">
        <v>16</v>
      </c>
      <c r="C247" s="4" t="s">
        <v>522</v>
      </c>
      <c r="D247" s="4" t="s">
        <v>523</v>
      </c>
      <c r="E247" s="4"/>
      <c r="F247" s="18" t="str">
        <f t="shared" si="15"/>
        <v>FOOD</v>
      </c>
      <c r="G247" s="18" t="s">
        <v>19</v>
      </c>
      <c r="H247" s="4" t="str">
        <f t="shared" si="3"/>
        <v>10/Whole</v>
      </c>
      <c r="I247" s="4">
        <v>10.0</v>
      </c>
      <c r="J247" s="3" t="s">
        <v>110</v>
      </c>
      <c r="K247" s="16">
        <v>367.1</v>
      </c>
      <c r="L247" s="16"/>
    </row>
    <row r="248" ht="15.75" customHeight="1">
      <c r="A248" s="17" t="s">
        <v>16</v>
      </c>
      <c r="C248" s="4" t="s">
        <v>524</v>
      </c>
      <c r="D248" s="4" t="s">
        <v>525</v>
      </c>
      <c r="E248" s="4"/>
      <c r="F248" s="18" t="str">
        <f t="shared" si="15"/>
        <v>FOOD</v>
      </c>
      <c r="G248" s="18" t="s">
        <v>19</v>
      </c>
      <c r="H248" s="4" t="str">
        <f t="shared" si="3"/>
        <v>1000/KG</v>
      </c>
      <c r="I248" s="4">
        <v>1000.0</v>
      </c>
      <c r="J248" s="3" t="s">
        <v>35</v>
      </c>
      <c r="K248" s="16">
        <v>871.5</v>
      </c>
      <c r="L248" s="16"/>
    </row>
    <row r="249" ht="15.75" customHeight="1">
      <c r="A249" s="17" t="s">
        <v>16</v>
      </c>
      <c r="C249" s="4" t="s">
        <v>526</v>
      </c>
      <c r="D249" s="4" t="s">
        <v>527</v>
      </c>
      <c r="E249" s="4"/>
      <c r="F249" s="18" t="str">
        <f t="shared" si="15"/>
        <v>FOOD</v>
      </c>
      <c r="G249" s="18" t="s">
        <v>19</v>
      </c>
      <c r="H249" s="4" t="str">
        <f t="shared" si="3"/>
        <v>1000/LIT</v>
      </c>
      <c r="I249" s="4">
        <v>1000.0</v>
      </c>
      <c r="J249" s="3" t="s">
        <v>20</v>
      </c>
      <c r="K249" s="16">
        <v>1334.82</v>
      </c>
      <c r="L249" s="16"/>
    </row>
    <row r="250" ht="15.75" customHeight="1">
      <c r="A250" s="17" t="s">
        <v>16</v>
      </c>
      <c r="C250" s="20" t="s">
        <v>528</v>
      </c>
      <c r="D250" s="4" t="s">
        <v>529</v>
      </c>
      <c r="E250" s="4"/>
      <c r="F250" s="18" t="str">
        <f t="shared" si="15"/>
        <v>FOOD</v>
      </c>
      <c r="G250" s="18" t="s">
        <v>19</v>
      </c>
      <c r="H250" s="4" t="str">
        <f t="shared" si="3"/>
        <v>4/pack</v>
      </c>
      <c r="I250" s="18">
        <v>4.0</v>
      </c>
      <c r="J250" s="3" t="s">
        <v>134</v>
      </c>
      <c r="K250" s="16">
        <v>77.69999999999999</v>
      </c>
      <c r="L250" s="16"/>
    </row>
    <row r="251" ht="15.75" customHeight="1">
      <c r="A251" s="17" t="s">
        <v>16</v>
      </c>
      <c r="C251" s="4" t="s">
        <v>530</v>
      </c>
      <c r="D251" s="4" t="s">
        <v>531</v>
      </c>
      <c r="E251" s="4"/>
      <c r="F251" s="18" t="str">
        <f t="shared" si="15"/>
        <v>BEVERAGE</v>
      </c>
      <c r="G251" s="18" t="s">
        <v>54</v>
      </c>
      <c r="H251" s="4" t="str">
        <f t="shared" si="3"/>
        <v>1000/LIT</v>
      </c>
      <c r="I251" s="4">
        <v>1000.0</v>
      </c>
      <c r="J251" s="3" t="s">
        <v>20</v>
      </c>
      <c r="K251" s="16">
        <v>219.08</v>
      </c>
      <c r="L251" s="16"/>
    </row>
    <row r="252" ht="15.75" customHeight="1">
      <c r="A252" s="17" t="s">
        <v>16</v>
      </c>
      <c r="C252" s="4" t="s">
        <v>532</v>
      </c>
      <c r="D252" s="4" t="s">
        <v>533</v>
      </c>
      <c r="E252" s="4"/>
      <c r="F252" s="18" t="str">
        <f t="shared" si="15"/>
        <v>FOOD</v>
      </c>
      <c r="G252" s="18" t="s">
        <v>19</v>
      </c>
      <c r="H252" s="4" t="str">
        <f t="shared" si="3"/>
        <v>1000/KG</v>
      </c>
      <c r="I252" s="4">
        <v>1000.0</v>
      </c>
      <c r="J252" s="3" t="s">
        <v>35</v>
      </c>
      <c r="K252" s="16">
        <v>131.19</v>
      </c>
      <c r="L252" s="16"/>
    </row>
    <row r="253" ht="15.75" customHeight="1">
      <c r="A253" s="17" t="s">
        <v>16</v>
      </c>
      <c r="C253" s="4" t="s">
        <v>534</v>
      </c>
      <c r="D253" s="4" t="s">
        <v>535</v>
      </c>
      <c r="E253" s="4"/>
      <c r="F253" s="18" t="str">
        <f t="shared" si="15"/>
        <v>IT ITEMS</v>
      </c>
      <c r="G253" s="18" t="s">
        <v>536</v>
      </c>
      <c r="H253" s="4" t="str">
        <f t="shared" si="3"/>
        <v>1/PC</v>
      </c>
      <c r="I253" s="4">
        <v>1.0</v>
      </c>
      <c r="J253" s="3" t="s">
        <v>42</v>
      </c>
      <c r="K253" s="16">
        <v>154.76</v>
      </c>
      <c r="L253" s="16"/>
    </row>
    <row r="254" ht="15.75" customHeight="1">
      <c r="A254" s="17" t="s">
        <v>16</v>
      </c>
      <c r="C254" s="4" t="s">
        <v>537</v>
      </c>
      <c r="D254" s="4" t="s">
        <v>538</v>
      </c>
      <c r="E254" s="4"/>
      <c r="F254" s="18" t="str">
        <f t="shared" si="15"/>
        <v>FOOD</v>
      </c>
      <c r="G254" s="18" t="s">
        <v>19</v>
      </c>
      <c r="H254" s="4" t="str">
        <f t="shared" si="3"/>
        <v>1000/KG</v>
      </c>
      <c r="I254" s="4">
        <v>1000.0</v>
      </c>
      <c r="J254" s="3" t="s">
        <v>35</v>
      </c>
      <c r="K254" s="16">
        <v>367.5</v>
      </c>
      <c r="L254" s="16"/>
    </row>
    <row r="255" ht="15.75" customHeight="1">
      <c r="A255" s="17" t="s">
        <v>16</v>
      </c>
      <c r="C255" s="4" t="s">
        <v>539</v>
      </c>
      <c r="D255" s="4" t="s">
        <v>540</v>
      </c>
      <c r="E255" s="4"/>
      <c r="F255" s="18" t="str">
        <f t="shared" si="15"/>
        <v>FOOD</v>
      </c>
      <c r="G255" s="18" t="s">
        <v>19</v>
      </c>
      <c r="H255" s="4" t="str">
        <f t="shared" si="3"/>
        <v>1000/KG</v>
      </c>
      <c r="I255" s="4">
        <v>1000.0</v>
      </c>
      <c r="J255" s="3" t="s">
        <v>35</v>
      </c>
      <c r="K255" s="16">
        <v>233.42</v>
      </c>
      <c r="L255" s="16"/>
    </row>
    <row r="256" ht="15.75" customHeight="1">
      <c r="A256" s="17" t="s">
        <v>16</v>
      </c>
      <c r="C256" s="4" t="s">
        <v>541</v>
      </c>
      <c r="D256" s="4" t="s">
        <v>542</v>
      </c>
      <c r="E256" s="4"/>
      <c r="F256" s="18" t="str">
        <f t="shared" si="15"/>
        <v>FOOD</v>
      </c>
      <c r="G256" s="18" t="s">
        <v>19</v>
      </c>
      <c r="H256" s="4" t="str">
        <f t="shared" si="3"/>
        <v>500/KG</v>
      </c>
      <c r="I256" s="4">
        <v>500.0</v>
      </c>
      <c r="J256" s="3" t="s">
        <v>35</v>
      </c>
      <c r="K256" s="16">
        <v>356.25</v>
      </c>
      <c r="L256" s="16"/>
    </row>
    <row r="257" ht="15.75" customHeight="1">
      <c r="A257" s="17" t="s">
        <v>16</v>
      </c>
      <c r="C257" s="4" t="s">
        <v>543</v>
      </c>
      <c r="D257" s="4" t="s">
        <v>544</v>
      </c>
      <c r="E257" s="4"/>
      <c r="F257" s="18" t="str">
        <f t="shared" si="15"/>
        <v>FOOD</v>
      </c>
      <c r="G257" s="18" t="s">
        <v>19</v>
      </c>
      <c r="H257" s="4" t="str">
        <f t="shared" si="3"/>
        <v>1000/KG</v>
      </c>
      <c r="I257" s="4">
        <v>1000.0</v>
      </c>
      <c r="J257" s="3" t="s">
        <v>35</v>
      </c>
      <c r="K257" s="16">
        <v>117.43</v>
      </c>
      <c r="L257" s="16"/>
    </row>
    <row r="258" ht="15.75" customHeight="1">
      <c r="A258" s="17" t="s">
        <v>16</v>
      </c>
      <c r="C258" s="4" t="s">
        <v>545</v>
      </c>
      <c r="D258" s="4" t="s">
        <v>546</v>
      </c>
      <c r="E258" s="4"/>
      <c r="F258" s="18" t="str">
        <f t="shared" si="15"/>
        <v>FOOD</v>
      </c>
      <c r="G258" s="18" t="s">
        <v>19</v>
      </c>
      <c r="H258" s="4" t="str">
        <f t="shared" si="3"/>
        <v>1000/KG</v>
      </c>
      <c r="I258" s="4">
        <v>1000.0</v>
      </c>
      <c r="J258" s="3" t="s">
        <v>35</v>
      </c>
      <c r="K258" s="16">
        <v>408.98</v>
      </c>
      <c r="L258" s="16"/>
    </row>
    <row r="259" ht="15.75" customHeight="1">
      <c r="A259" s="17" t="s">
        <v>16</v>
      </c>
      <c r="C259" s="4" t="s">
        <v>547</v>
      </c>
      <c r="D259" s="4" t="s">
        <v>548</v>
      </c>
      <c r="E259" s="4"/>
      <c r="F259" s="18" t="str">
        <f t="shared" si="15"/>
        <v>BEVERAGE</v>
      </c>
      <c r="G259" s="18" t="s">
        <v>54</v>
      </c>
      <c r="H259" s="4" t="str">
        <f t="shared" si="3"/>
        <v>1000/LIT</v>
      </c>
      <c r="I259" s="4">
        <v>1000.0</v>
      </c>
      <c r="J259" s="3" t="s">
        <v>20</v>
      </c>
      <c r="K259" s="16">
        <v>1087.51</v>
      </c>
      <c r="L259" s="16"/>
    </row>
    <row r="260" ht="15.75" customHeight="1">
      <c r="A260" s="17" t="s">
        <v>16</v>
      </c>
      <c r="C260" s="20" t="s">
        <v>549</v>
      </c>
      <c r="D260" s="4" t="s">
        <v>550</v>
      </c>
      <c r="E260" s="4"/>
      <c r="F260" s="18" t="str">
        <f t="shared" si="15"/>
        <v>BEVERAGE</v>
      </c>
      <c r="G260" s="18" t="s">
        <v>54</v>
      </c>
      <c r="H260" s="4" t="str">
        <f t="shared" si="3"/>
        <v>1000/LIT</v>
      </c>
      <c r="I260" s="18">
        <v>1000.0</v>
      </c>
      <c r="J260" s="3" t="s">
        <v>20</v>
      </c>
      <c r="K260" s="16">
        <v>164.06</v>
      </c>
      <c r="L260" s="16"/>
    </row>
    <row r="261" ht="15.75" customHeight="1">
      <c r="A261" s="17" t="s">
        <v>16</v>
      </c>
      <c r="C261" s="4" t="s">
        <v>551</v>
      </c>
      <c r="D261" s="4" t="s">
        <v>552</v>
      </c>
      <c r="E261" s="4"/>
      <c r="F261" s="18" t="s">
        <v>40</v>
      </c>
      <c r="G261" s="18" t="s">
        <v>41</v>
      </c>
      <c r="H261" s="4" t="str">
        <f t="shared" si="3"/>
        <v>1/PC</v>
      </c>
      <c r="I261" s="4">
        <v>1.0</v>
      </c>
      <c r="J261" s="3" t="s">
        <v>42</v>
      </c>
      <c r="K261" s="16">
        <v>0.8</v>
      </c>
      <c r="L261" s="16"/>
    </row>
    <row r="262" ht="15.75" customHeight="1">
      <c r="A262" s="17" t="s">
        <v>16</v>
      </c>
      <c r="C262" s="20" t="s">
        <v>551</v>
      </c>
      <c r="D262" s="21" t="s">
        <v>553</v>
      </c>
      <c r="E262" s="4"/>
      <c r="F262" s="18" t="s">
        <v>40</v>
      </c>
      <c r="G262" s="18" t="s">
        <v>41</v>
      </c>
      <c r="H262" s="4" t="str">
        <f t="shared" si="3"/>
        <v>100/PACK(100)</v>
      </c>
      <c r="I262" s="31">
        <v>100.0</v>
      </c>
      <c r="J262" s="24" t="s">
        <v>445</v>
      </c>
      <c r="K262" s="16">
        <v>46.87</v>
      </c>
      <c r="L262" s="16"/>
    </row>
    <row r="263" ht="15.75" customHeight="1">
      <c r="A263" s="17" t="s">
        <v>16</v>
      </c>
      <c r="C263" s="20" t="s">
        <v>554</v>
      </c>
      <c r="D263" s="4" t="s">
        <v>555</v>
      </c>
      <c r="E263" s="4"/>
      <c r="F263" s="18" t="s">
        <v>40</v>
      </c>
      <c r="G263" s="18" t="s">
        <v>41</v>
      </c>
      <c r="H263" s="4" t="str">
        <f t="shared" si="3"/>
        <v>50/PACK</v>
      </c>
      <c r="I263" s="18">
        <v>50.0</v>
      </c>
      <c r="J263" s="19" t="s">
        <v>23</v>
      </c>
      <c r="K263" s="16">
        <v>262.5</v>
      </c>
      <c r="L263" s="16"/>
    </row>
    <row r="264" ht="15.75" customHeight="1">
      <c r="A264" s="17" t="s">
        <v>16</v>
      </c>
      <c r="C264" s="20" t="s">
        <v>556</v>
      </c>
      <c r="D264" s="4" t="s">
        <v>557</v>
      </c>
      <c r="E264" s="4"/>
      <c r="F264" s="18" t="s">
        <v>40</v>
      </c>
      <c r="G264" s="18" t="s">
        <v>41</v>
      </c>
      <c r="H264" s="4" t="str">
        <f t="shared" si="3"/>
        <v>50/PACK</v>
      </c>
      <c r="I264" s="18">
        <v>50.0</v>
      </c>
      <c r="J264" s="19" t="s">
        <v>23</v>
      </c>
      <c r="K264" s="16">
        <v>262.5</v>
      </c>
      <c r="L264" s="16"/>
    </row>
    <row r="265" ht="15.75" customHeight="1">
      <c r="A265" s="17" t="s">
        <v>16</v>
      </c>
      <c r="C265" s="20" t="s">
        <v>558</v>
      </c>
      <c r="D265" s="3" t="s">
        <v>559</v>
      </c>
      <c r="E265" s="4"/>
      <c r="F265" s="18" t="s">
        <v>40</v>
      </c>
      <c r="G265" s="18" t="s">
        <v>41</v>
      </c>
      <c r="H265" s="4" t="str">
        <f t="shared" si="3"/>
        <v>50/PACK</v>
      </c>
      <c r="I265" s="16">
        <v>50.0</v>
      </c>
      <c r="J265" s="19" t="s">
        <v>23</v>
      </c>
      <c r="K265" s="16">
        <v>262.5</v>
      </c>
      <c r="L265" s="16"/>
    </row>
    <row r="266" ht="15.75" customHeight="1">
      <c r="A266" s="17" t="s">
        <v>16</v>
      </c>
      <c r="C266" s="20" t="s">
        <v>560</v>
      </c>
      <c r="D266" s="4" t="s">
        <v>561</v>
      </c>
      <c r="E266" s="4"/>
      <c r="F266" s="18" t="s">
        <v>40</v>
      </c>
      <c r="G266" s="18" t="s">
        <v>41</v>
      </c>
      <c r="H266" s="4" t="str">
        <f t="shared" si="3"/>
        <v>50/PACK</v>
      </c>
      <c r="I266" s="18">
        <v>50.0</v>
      </c>
      <c r="J266" s="19" t="s">
        <v>23</v>
      </c>
      <c r="K266" s="16">
        <v>262.5</v>
      </c>
      <c r="L266" s="16"/>
    </row>
    <row r="267" ht="15.75" customHeight="1">
      <c r="A267" s="17" t="s">
        <v>16</v>
      </c>
      <c r="C267" s="20" t="s">
        <v>562</v>
      </c>
      <c r="D267" s="4" t="s">
        <v>563</v>
      </c>
      <c r="E267" s="4"/>
      <c r="F267" s="18" t="s">
        <v>40</v>
      </c>
      <c r="G267" s="18" t="s">
        <v>41</v>
      </c>
      <c r="H267" s="4" t="str">
        <f t="shared" si="3"/>
        <v>50/PACK</v>
      </c>
      <c r="I267" s="18">
        <v>50.0</v>
      </c>
      <c r="J267" s="19" t="s">
        <v>23</v>
      </c>
      <c r="K267" s="16">
        <v>262.5</v>
      </c>
      <c r="L267" s="16"/>
    </row>
    <row r="268" ht="15.75" customHeight="1">
      <c r="A268" s="17" t="s">
        <v>16</v>
      </c>
      <c r="C268" s="4" t="s">
        <v>564</v>
      </c>
      <c r="D268" s="4" t="s">
        <v>565</v>
      </c>
      <c r="E268" s="4"/>
      <c r="F268" s="18" t="str">
        <f t="shared" ref="F268:F270" si="16">G268</f>
        <v>FOOD</v>
      </c>
      <c r="G268" s="18" t="s">
        <v>19</v>
      </c>
      <c r="H268" s="4" t="str">
        <f t="shared" si="3"/>
        <v>1/PC</v>
      </c>
      <c r="I268" s="4">
        <v>1.0</v>
      </c>
      <c r="J268" s="3" t="s">
        <v>42</v>
      </c>
      <c r="K268" s="16">
        <v>54.2</v>
      </c>
      <c r="L268" s="16"/>
    </row>
    <row r="269" ht="15.75" customHeight="1">
      <c r="A269" s="17" t="s">
        <v>16</v>
      </c>
      <c r="C269" s="4" t="s">
        <v>566</v>
      </c>
      <c r="D269" s="4" t="s">
        <v>567</v>
      </c>
      <c r="E269" s="4"/>
      <c r="F269" s="18" t="str">
        <f t="shared" si="16"/>
        <v>FOOD</v>
      </c>
      <c r="G269" s="18" t="s">
        <v>19</v>
      </c>
      <c r="H269" s="4" t="str">
        <f t="shared" si="3"/>
        <v>8/WHOLE</v>
      </c>
      <c r="I269" s="4">
        <v>8.0</v>
      </c>
      <c r="J269" s="3" t="s">
        <v>57</v>
      </c>
      <c r="K269" s="16">
        <v>351.8</v>
      </c>
      <c r="L269" s="16"/>
    </row>
    <row r="270" ht="15.75" customHeight="1">
      <c r="A270" s="17" t="s">
        <v>16</v>
      </c>
      <c r="C270" s="20" t="s">
        <v>568</v>
      </c>
      <c r="D270" s="4" t="s">
        <v>569</v>
      </c>
      <c r="E270" s="4"/>
      <c r="F270" s="18" t="str">
        <f t="shared" si="16"/>
        <v>FOOD</v>
      </c>
      <c r="G270" s="18" t="s">
        <v>19</v>
      </c>
      <c r="H270" s="4" t="str">
        <f t="shared" si="3"/>
        <v>10/WHOLE</v>
      </c>
      <c r="I270" s="4">
        <v>10.0</v>
      </c>
      <c r="J270" s="3" t="s">
        <v>57</v>
      </c>
      <c r="K270" s="16">
        <v>520.0</v>
      </c>
      <c r="L270" s="16"/>
    </row>
    <row r="271" ht="15.75" customHeight="1">
      <c r="A271" s="17" t="s">
        <v>16</v>
      </c>
      <c r="C271" s="4" t="s">
        <v>570</v>
      </c>
      <c r="D271" s="4" t="s">
        <v>571</v>
      </c>
      <c r="E271" s="4"/>
      <c r="F271" s="18" t="s">
        <v>40</v>
      </c>
      <c r="G271" s="18" t="s">
        <v>41</v>
      </c>
      <c r="H271" s="4" t="str">
        <f t="shared" si="3"/>
        <v>1/PC</v>
      </c>
      <c r="I271" s="4">
        <v>1.0</v>
      </c>
      <c r="J271" s="3" t="s">
        <v>42</v>
      </c>
      <c r="K271" s="16">
        <v>0.84</v>
      </c>
      <c r="L271" s="16"/>
    </row>
    <row r="272" ht="15.75" customHeight="1">
      <c r="A272" s="17" t="s">
        <v>16</v>
      </c>
      <c r="C272" s="20" t="s">
        <v>570</v>
      </c>
      <c r="D272" s="4" t="s">
        <v>572</v>
      </c>
      <c r="E272" s="4"/>
      <c r="F272" s="18" t="s">
        <v>40</v>
      </c>
      <c r="G272" s="18" t="s">
        <v>41</v>
      </c>
      <c r="H272" s="4" t="str">
        <f t="shared" si="3"/>
        <v>50/PACK(50)</v>
      </c>
      <c r="I272" s="18">
        <v>50.0</v>
      </c>
      <c r="J272" s="3" t="s">
        <v>573</v>
      </c>
      <c r="K272" s="33">
        <v>84.6</v>
      </c>
      <c r="L272" s="16"/>
    </row>
    <row r="273" ht="15.75" customHeight="1">
      <c r="A273" s="17" t="s">
        <v>16</v>
      </c>
      <c r="C273" s="20" t="s">
        <v>574</v>
      </c>
      <c r="D273" s="4" t="s">
        <v>575</v>
      </c>
      <c r="E273" s="4"/>
      <c r="F273" s="18" t="s">
        <v>40</v>
      </c>
      <c r="G273" s="18" t="s">
        <v>41</v>
      </c>
      <c r="H273" s="4" t="str">
        <f t="shared" si="3"/>
        <v>50/PACK(50)</v>
      </c>
      <c r="I273" s="18">
        <v>50.0</v>
      </c>
      <c r="J273" s="3" t="s">
        <v>573</v>
      </c>
      <c r="K273" s="16">
        <v>20.6</v>
      </c>
      <c r="L273" s="16"/>
    </row>
    <row r="274" ht="15.75" customHeight="1">
      <c r="A274" s="17" t="s">
        <v>16</v>
      </c>
      <c r="C274" s="4" t="s">
        <v>576</v>
      </c>
      <c r="D274" s="4" t="s">
        <v>577</v>
      </c>
      <c r="E274" s="4"/>
      <c r="F274" s="18" t="s">
        <v>40</v>
      </c>
      <c r="G274" s="18" t="s">
        <v>41</v>
      </c>
      <c r="H274" s="4" t="str">
        <f t="shared" si="3"/>
        <v>1/PC</v>
      </c>
      <c r="I274" s="4">
        <v>1.0</v>
      </c>
      <c r="J274" s="3" t="s">
        <v>42</v>
      </c>
      <c r="K274" s="16">
        <v>0.66</v>
      </c>
      <c r="L274" s="16"/>
    </row>
    <row r="275" ht="15.75" customHeight="1">
      <c r="A275" s="17" t="s">
        <v>16</v>
      </c>
      <c r="C275" s="4" t="s">
        <v>578</v>
      </c>
      <c r="D275" s="4" t="s">
        <v>579</v>
      </c>
      <c r="E275" s="4"/>
      <c r="F275" s="18" t="str">
        <f t="shared" ref="F275:F280" si="17">G275</f>
        <v>FOOD</v>
      </c>
      <c r="G275" s="18" t="s">
        <v>19</v>
      </c>
      <c r="H275" s="4" t="str">
        <f t="shared" si="3"/>
        <v>7/PC</v>
      </c>
      <c r="I275" s="4">
        <v>7.0</v>
      </c>
      <c r="J275" s="3" t="s">
        <v>42</v>
      </c>
      <c r="K275" s="16">
        <v>33.0</v>
      </c>
      <c r="L275" s="16"/>
    </row>
    <row r="276" ht="15.75" customHeight="1">
      <c r="A276" s="17" t="s">
        <v>16</v>
      </c>
      <c r="C276" s="4" t="s">
        <v>580</v>
      </c>
      <c r="D276" s="4" t="s">
        <v>581</v>
      </c>
      <c r="E276" s="4"/>
      <c r="F276" s="18" t="str">
        <f t="shared" si="17"/>
        <v>FOOD</v>
      </c>
      <c r="G276" s="18" t="s">
        <v>19</v>
      </c>
      <c r="H276" s="4" t="str">
        <f t="shared" si="3"/>
        <v>1000/LIT</v>
      </c>
      <c r="I276" s="4">
        <v>1000.0</v>
      </c>
      <c r="J276" s="3" t="s">
        <v>20</v>
      </c>
      <c r="K276" s="16">
        <v>241.36</v>
      </c>
      <c r="L276" s="16"/>
    </row>
    <row r="277" ht="15.75" customHeight="1">
      <c r="A277" s="17" t="s">
        <v>16</v>
      </c>
      <c r="C277" s="20" t="s">
        <v>582</v>
      </c>
      <c r="D277" s="21" t="s">
        <v>583</v>
      </c>
      <c r="E277" s="4"/>
      <c r="F277" s="18" t="str">
        <f t="shared" si="17"/>
        <v>BEVERAGE</v>
      </c>
      <c r="G277" s="18" t="s">
        <v>54</v>
      </c>
      <c r="H277" s="4" t="str">
        <f t="shared" si="3"/>
        <v>1000/KG</v>
      </c>
      <c r="I277" s="4">
        <v>1000.0</v>
      </c>
      <c r="J277" s="3" t="s">
        <v>35</v>
      </c>
      <c r="K277" s="16">
        <v>325.5</v>
      </c>
      <c r="L277" s="16"/>
    </row>
    <row r="278" ht="15.75" customHeight="1">
      <c r="A278" s="17" t="s">
        <v>16</v>
      </c>
      <c r="C278" s="4" t="s">
        <v>584</v>
      </c>
      <c r="D278" s="4" t="s">
        <v>585</v>
      </c>
      <c r="E278" s="4"/>
      <c r="F278" s="18" t="str">
        <f t="shared" si="17"/>
        <v>FOOD</v>
      </c>
      <c r="G278" s="18" t="s">
        <v>19</v>
      </c>
      <c r="H278" s="4" t="str">
        <f t="shared" si="3"/>
        <v>450/PACK</v>
      </c>
      <c r="I278" s="4">
        <v>450.0</v>
      </c>
      <c r="J278" s="3" t="s">
        <v>23</v>
      </c>
      <c r="K278" s="16">
        <v>184.79999999999998</v>
      </c>
      <c r="L278" s="16"/>
    </row>
    <row r="279" ht="15.75" customHeight="1">
      <c r="A279" s="17" t="s">
        <v>16</v>
      </c>
      <c r="C279" s="4" t="s">
        <v>586</v>
      </c>
      <c r="D279" s="4" t="s">
        <v>587</v>
      </c>
      <c r="E279" s="4"/>
      <c r="F279" s="18" t="str">
        <f t="shared" si="17"/>
        <v>FOOD</v>
      </c>
      <c r="G279" s="18" t="s">
        <v>19</v>
      </c>
      <c r="H279" s="4" t="str">
        <f t="shared" si="3"/>
        <v>150/PACK</v>
      </c>
      <c r="I279" s="4">
        <v>150.0</v>
      </c>
      <c r="J279" s="3" t="s">
        <v>23</v>
      </c>
      <c r="K279" s="16">
        <v>380.0</v>
      </c>
      <c r="L279" s="16"/>
    </row>
    <row r="280" ht="15.75" customHeight="1">
      <c r="A280" s="17" t="s">
        <v>16</v>
      </c>
      <c r="C280" s="4" t="s">
        <v>588</v>
      </c>
      <c r="D280" s="4" t="s">
        <v>589</v>
      </c>
      <c r="E280" s="4"/>
      <c r="F280" s="18" t="str">
        <f t="shared" si="17"/>
        <v>FOOD</v>
      </c>
      <c r="G280" s="18" t="s">
        <v>19</v>
      </c>
      <c r="H280" s="4" t="str">
        <f t="shared" si="3"/>
        <v>500/PACK</v>
      </c>
      <c r="I280" s="4">
        <v>500.0</v>
      </c>
      <c r="J280" s="3" t="s">
        <v>23</v>
      </c>
      <c r="K280" s="16">
        <v>344.8</v>
      </c>
      <c r="L280" s="16"/>
    </row>
    <row r="281" ht="15.75" customHeight="1">
      <c r="A281" s="17" t="s">
        <v>16</v>
      </c>
      <c r="C281" s="20" t="s">
        <v>590</v>
      </c>
      <c r="D281" s="20" t="s">
        <v>591</v>
      </c>
      <c r="E281" s="4"/>
      <c r="F281" s="18" t="s">
        <v>40</v>
      </c>
      <c r="G281" s="18" t="s">
        <v>448</v>
      </c>
      <c r="H281" s="4" t="str">
        <f t="shared" si="3"/>
        <v>1/PC</v>
      </c>
      <c r="I281" s="4">
        <v>1.0</v>
      </c>
      <c r="J281" s="3" t="s">
        <v>42</v>
      </c>
      <c r="K281" s="16">
        <v>47.61</v>
      </c>
      <c r="L281" s="16"/>
    </row>
    <row r="282" ht="15.75" customHeight="1">
      <c r="A282" s="17" t="s">
        <v>16</v>
      </c>
      <c r="C282" s="20" t="s">
        <v>592</v>
      </c>
      <c r="D282" s="4" t="s">
        <v>593</v>
      </c>
      <c r="E282" s="4"/>
      <c r="F282" s="18" t="str">
        <f t="shared" ref="F282:F307" si="18">G282</f>
        <v>FOOD</v>
      </c>
      <c r="G282" s="18" t="s">
        <v>19</v>
      </c>
      <c r="H282" s="4" t="str">
        <f t="shared" si="3"/>
        <v>100/PACK</v>
      </c>
      <c r="I282" s="18">
        <v>100.0</v>
      </c>
      <c r="J282" s="3" t="s">
        <v>23</v>
      </c>
      <c r="K282" s="16">
        <v>11.799999999999999</v>
      </c>
      <c r="L282" s="16"/>
    </row>
    <row r="283" ht="15.75" customHeight="1">
      <c r="A283" s="17" t="s">
        <v>16</v>
      </c>
      <c r="C283" s="20" t="s">
        <v>594</v>
      </c>
      <c r="D283" s="4" t="s">
        <v>595</v>
      </c>
      <c r="E283" s="4"/>
      <c r="F283" s="18" t="str">
        <f t="shared" si="18"/>
        <v>FOOD</v>
      </c>
      <c r="G283" s="18" t="s">
        <v>19</v>
      </c>
      <c r="H283" s="4" t="str">
        <f t="shared" si="3"/>
        <v>1000/PACK</v>
      </c>
      <c r="I283" s="4">
        <v>1000.0</v>
      </c>
      <c r="J283" s="3" t="s">
        <v>23</v>
      </c>
      <c r="K283" s="16">
        <v>302.40000000000003</v>
      </c>
      <c r="L283" s="16"/>
    </row>
    <row r="284" ht="15.75" customHeight="1">
      <c r="A284" s="17" t="s">
        <v>16</v>
      </c>
      <c r="C284" s="4" t="s">
        <v>596</v>
      </c>
      <c r="D284" s="4" t="s">
        <v>597</v>
      </c>
      <c r="E284" s="4"/>
      <c r="F284" s="18" t="str">
        <f t="shared" si="18"/>
        <v>FOOD</v>
      </c>
      <c r="G284" s="18" t="s">
        <v>19</v>
      </c>
      <c r="H284" s="4" t="str">
        <f t="shared" si="3"/>
        <v>1000/KG</v>
      </c>
      <c r="I284" s="4">
        <v>1000.0</v>
      </c>
      <c r="J284" s="3" t="s">
        <v>35</v>
      </c>
      <c r="K284" s="16">
        <v>178.1</v>
      </c>
      <c r="L284" s="16"/>
    </row>
    <row r="285" ht="15.75" customHeight="1">
      <c r="A285" s="17" t="s">
        <v>16</v>
      </c>
      <c r="C285" s="4" t="s">
        <v>598</v>
      </c>
      <c r="D285" s="4" t="s">
        <v>599</v>
      </c>
      <c r="E285" s="4"/>
      <c r="F285" s="18" t="str">
        <f t="shared" si="18"/>
        <v>FOOD</v>
      </c>
      <c r="G285" s="18" t="s">
        <v>19</v>
      </c>
      <c r="H285" s="4" t="str">
        <f t="shared" si="3"/>
        <v>1000/KG</v>
      </c>
      <c r="I285" s="4">
        <v>1000.0</v>
      </c>
      <c r="J285" s="3" t="s">
        <v>35</v>
      </c>
      <c r="K285" s="16">
        <v>787.5</v>
      </c>
      <c r="L285" s="16"/>
    </row>
    <row r="286" ht="15.75" customHeight="1">
      <c r="A286" s="17" t="s">
        <v>16</v>
      </c>
      <c r="C286" s="4" t="s">
        <v>600</v>
      </c>
      <c r="D286" s="4" t="s">
        <v>601</v>
      </c>
      <c r="E286" s="4"/>
      <c r="F286" s="18" t="str">
        <f t="shared" si="18"/>
        <v>FOOD</v>
      </c>
      <c r="G286" s="18" t="s">
        <v>19</v>
      </c>
      <c r="H286" s="4" t="str">
        <f t="shared" si="3"/>
        <v>1000/KG</v>
      </c>
      <c r="I286" s="4">
        <v>1000.0</v>
      </c>
      <c r="J286" s="3" t="s">
        <v>35</v>
      </c>
      <c r="K286" s="16">
        <v>577.5</v>
      </c>
      <c r="L286" s="16"/>
    </row>
    <row r="287" ht="15.75" customHeight="1">
      <c r="A287" s="17" t="s">
        <v>16</v>
      </c>
      <c r="C287" s="4" t="s">
        <v>602</v>
      </c>
      <c r="D287" s="4" t="s">
        <v>603</v>
      </c>
      <c r="E287" s="4"/>
      <c r="F287" s="18" t="str">
        <f t="shared" si="18"/>
        <v>FOOD</v>
      </c>
      <c r="G287" s="18" t="s">
        <v>19</v>
      </c>
      <c r="H287" s="4" t="str">
        <f t="shared" si="3"/>
        <v>1000/KG</v>
      </c>
      <c r="I287" s="4">
        <v>1000.0</v>
      </c>
      <c r="J287" s="3" t="s">
        <v>35</v>
      </c>
      <c r="K287" s="16">
        <v>1155.0</v>
      </c>
      <c r="L287" s="16"/>
    </row>
    <row r="288" ht="15.75" customHeight="1">
      <c r="A288" s="17" t="s">
        <v>16</v>
      </c>
      <c r="C288" s="4" t="s">
        <v>604</v>
      </c>
      <c r="D288" s="4" t="s">
        <v>605</v>
      </c>
      <c r="E288" s="4"/>
      <c r="F288" s="18" t="str">
        <f t="shared" si="18"/>
        <v>FOOD</v>
      </c>
      <c r="G288" s="18" t="s">
        <v>19</v>
      </c>
      <c r="H288" s="4" t="str">
        <f t="shared" si="3"/>
        <v>1000/KG</v>
      </c>
      <c r="I288" s="4">
        <v>1000.0</v>
      </c>
      <c r="J288" s="3" t="s">
        <v>35</v>
      </c>
      <c r="K288" s="16">
        <v>819.0</v>
      </c>
      <c r="L288" s="16"/>
    </row>
    <row r="289" ht="15.75" customHeight="1">
      <c r="A289" s="17" t="s">
        <v>16</v>
      </c>
      <c r="C289" s="4" t="s">
        <v>606</v>
      </c>
      <c r="D289" s="4" t="s">
        <v>607</v>
      </c>
      <c r="E289" s="4"/>
      <c r="F289" s="18" t="str">
        <f t="shared" si="18"/>
        <v>FOOD</v>
      </c>
      <c r="G289" s="18" t="s">
        <v>19</v>
      </c>
      <c r="H289" s="4" t="str">
        <f t="shared" si="3"/>
        <v>1000/KG</v>
      </c>
      <c r="I289" s="4">
        <v>1000.0</v>
      </c>
      <c r="J289" s="3" t="s">
        <v>35</v>
      </c>
      <c r="K289" s="16">
        <v>267.75</v>
      </c>
      <c r="L289" s="16"/>
    </row>
    <row r="290" ht="15.75" customHeight="1">
      <c r="A290" s="17" t="s">
        <v>16</v>
      </c>
      <c r="C290" s="4" t="s">
        <v>608</v>
      </c>
      <c r="D290" s="4" t="s">
        <v>609</v>
      </c>
      <c r="E290" s="4"/>
      <c r="F290" s="18" t="str">
        <f t="shared" si="18"/>
        <v>FOOD</v>
      </c>
      <c r="G290" s="18" t="s">
        <v>19</v>
      </c>
      <c r="H290" s="4" t="str">
        <f t="shared" si="3"/>
        <v>1000/KG</v>
      </c>
      <c r="I290" s="4">
        <v>1000.0</v>
      </c>
      <c r="J290" s="3" t="s">
        <v>35</v>
      </c>
      <c r="K290" s="16">
        <v>220.5</v>
      </c>
      <c r="L290" s="16"/>
    </row>
    <row r="291" ht="15.75" customHeight="1">
      <c r="A291" s="17" t="s">
        <v>16</v>
      </c>
      <c r="C291" s="4" t="s">
        <v>610</v>
      </c>
      <c r="D291" s="4" t="s">
        <v>611</v>
      </c>
      <c r="E291" s="4"/>
      <c r="F291" s="18" t="str">
        <f t="shared" si="18"/>
        <v>FOOD</v>
      </c>
      <c r="G291" s="18" t="s">
        <v>19</v>
      </c>
      <c r="H291" s="4" t="str">
        <f t="shared" si="3"/>
        <v>1000/KG</v>
      </c>
      <c r="I291" s="4">
        <v>1000.0</v>
      </c>
      <c r="J291" s="3" t="s">
        <v>35</v>
      </c>
      <c r="K291" s="16">
        <v>309.75</v>
      </c>
      <c r="L291" s="16"/>
    </row>
    <row r="292" ht="15.75" customHeight="1">
      <c r="A292" s="17" t="s">
        <v>16</v>
      </c>
      <c r="C292" s="4" t="s">
        <v>612</v>
      </c>
      <c r="D292" s="4" t="s">
        <v>613</v>
      </c>
      <c r="E292" s="4"/>
      <c r="F292" s="18" t="str">
        <f t="shared" si="18"/>
        <v>FOOD</v>
      </c>
      <c r="G292" s="18" t="s">
        <v>19</v>
      </c>
      <c r="H292" s="4" t="str">
        <f t="shared" si="3"/>
        <v>1000/KG</v>
      </c>
      <c r="I292" s="4">
        <v>1000.0</v>
      </c>
      <c r="J292" s="3" t="s">
        <v>35</v>
      </c>
      <c r="K292" s="16">
        <v>487.38</v>
      </c>
      <c r="L292" s="16"/>
    </row>
    <row r="293" ht="15.75" customHeight="1">
      <c r="A293" s="17" t="s">
        <v>16</v>
      </c>
      <c r="C293" s="4" t="s">
        <v>614</v>
      </c>
      <c r="D293" s="4" t="s">
        <v>615</v>
      </c>
      <c r="E293" s="4"/>
      <c r="F293" s="18" t="str">
        <f t="shared" si="18"/>
        <v>FOOD</v>
      </c>
      <c r="G293" s="18" t="s">
        <v>19</v>
      </c>
      <c r="H293" s="4" t="str">
        <f t="shared" si="3"/>
        <v>1000/KG</v>
      </c>
      <c r="I293" s="4">
        <v>1000.0</v>
      </c>
      <c r="J293" s="3" t="s">
        <v>35</v>
      </c>
      <c r="K293" s="16">
        <v>243.75</v>
      </c>
      <c r="L293" s="16"/>
    </row>
    <row r="294" ht="15.75" customHeight="1">
      <c r="A294" s="17" t="s">
        <v>16</v>
      </c>
      <c r="C294" s="4" t="s">
        <v>616</v>
      </c>
      <c r="D294" s="4" t="s">
        <v>617</v>
      </c>
      <c r="E294" s="4"/>
      <c r="F294" s="18" t="str">
        <f t="shared" si="18"/>
        <v>FOOD</v>
      </c>
      <c r="G294" s="18" t="s">
        <v>19</v>
      </c>
      <c r="H294" s="4" t="str">
        <f t="shared" si="3"/>
        <v>1000/KG</v>
      </c>
      <c r="I294" s="4">
        <v>1000.0</v>
      </c>
      <c r="J294" s="3" t="s">
        <v>35</v>
      </c>
      <c r="K294" s="16">
        <v>372.75</v>
      </c>
      <c r="L294" s="16"/>
    </row>
    <row r="295" ht="15.75" customHeight="1">
      <c r="A295" s="17" t="s">
        <v>16</v>
      </c>
      <c r="C295" s="4" t="s">
        <v>618</v>
      </c>
      <c r="D295" s="4" t="s">
        <v>619</v>
      </c>
      <c r="E295" s="4"/>
      <c r="F295" s="18" t="str">
        <f t="shared" si="18"/>
        <v>FOOD</v>
      </c>
      <c r="G295" s="18" t="s">
        <v>19</v>
      </c>
      <c r="H295" s="4" t="str">
        <f t="shared" si="3"/>
        <v>1000/KG</v>
      </c>
      <c r="I295" s="4">
        <v>1000.0</v>
      </c>
      <c r="J295" s="3" t="s">
        <v>35</v>
      </c>
      <c r="K295" s="16">
        <v>456.75</v>
      </c>
      <c r="L295" s="16"/>
    </row>
    <row r="296" ht="15.75" customHeight="1">
      <c r="A296" s="17" t="s">
        <v>16</v>
      </c>
      <c r="C296" s="4" t="s">
        <v>620</v>
      </c>
      <c r="D296" s="4" t="s">
        <v>621</v>
      </c>
      <c r="E296" s="4"/>
      <c r="F296" s="18" t="str">
        <f t="shared" si="18"/>
        <v>FOOD</v>
      </c>
      <c r="G296" s="18" t="s">
        <v>19</v>
      </c>
      <c r="H296" s="4" t="str">
        <f t="shared" si="3"/>
        <v>1000/KG</v>
      </c>
      <c r="I296" s="4">
        <v>1000.0</v>
      </c>
      <c r="J296" s="3" t="s">
        <v>35</v>
      </c>
      <c r="K296" s="16">
        <v>2357.93</v>
      </c>
      <c r="L296" s="16"/>
    </row>
    <row r="297" ht="15.75" customHeight="1">
      <c r="A297" s="17" t="s">
        <v>16</v>
      </c>
      <c r="C297" s="4" t="s">
        <v>622</v>
      </c>
      <c r="D297" s="4" t="s">
        <v>623</v>
      </c>
      <c r="E297" s="4"/>
      <c r="F297" s="18" t="str">
        <f t="shared" si="18"/>
        <v>FOOD</v>
      </c>
      <c r="G297" s="18" t="s">
        <v>19</v>
      </c>
      <c r="H297" s="4" t="str">
        <f t="shared" si="3"/>
        <v>1000/KG</v>
      </c>
      <c r="I297" s="4">
        <v>1000.0</v>
      </c>
      <c r="J297" s="3" t="s">
        <v>35</v>
      </c>
      <c r="K297" s="16">
        <v>139.77</v>
      </c>
      <c r="L297" s="16"/>
    </row>
    <row r="298" ht="15.75" customHeight="1">
      <c r="A298" s="17" t="s">
        <v>16</v>
      </c>
      <c r="C298" s="4" t="s">
        <v>624</v>
      </c>
      <c r="D298" s="4" t="s">
        <v>625</v>
      </c>
      <c r="E298" s="4"/>
      <c r="F298" s="18" t="str">
        <f t="shared" si="18"/>
        <v>FOOD</v>
      </c>
      <c r="G298" s="18" t="s">
        <v>19</v>
      </c>
      <c r="H298" s="4" t="str">
        <f t="shared" si="3"/>
        <v>1000/LIT</v>
      </c>
      <c r="I298" s="4">
        <v>1000.0</v>
      </c>
      <c r="J298" s="3" t="s">
        <v>20</v>
      </c>
      <c r="K298" s="16">
        <v>92.57</v>
      </c>
      <c r="L298" s="16"/>
    </row>
    <row r="299" ht="15.75" customHeight="1">
      <c r="A299" s="17" t="s">
        <v>16</v>
      </c>
      <c r="C299" s="4" t="s">
        <v>626</v>
      </c>
      <c r="D299" s="4" t="s">
        <v>627</v>
      </c>
      <c r="E299" s="4"/>
      <c r="F299" s="18" t="str">
        <f t="shared" si="18"/>
        <v>FOOD</v>
      </c>
      <c r="G299" s="18" t="s">
        <v>19</v>
      </c>
      <c r="H299" s="4" t="str">
        <f t="shared" si="3"/>
        <v>1000/KG</v>
      </c>
      <c r="I299" s="4">
        <v>1000.0</v>
      </c>
      <c r="J299" s="3" t="s">
        <v>35</v>
      </c>
      <c r="K299" s="16">
        <v>797.31</v>
      </c>
      <c r="L299" s="16"/>
    </row>
    <row r="300" ht="15.75" customHeight="1">
      <c r="A300" s="17" t="s">
        <v>16</v>
      </c>
      <c r="C300" s="4" t="s">
        <v>628</v>
      </c>
      <c r="D300" s="4" t="s">
        <v>629</v>
      </c>
      <c r="E300" s="4"/>
      <c r="F300" s="18" t="str">
        <f t="shared" si="18"/>
        <v>BEVERAGE</v>
      </c>
      <c r="G300" s="18" t="s">
        <v>54</v>
      </c>
      <c r="H300" s="4" t="str">
        <f t="shared" si="3"/>
        <v>1000/LIT</v>
      </c>
      <c r="I300" s="4">
        <v>1000.0</v>
      </c>
      <c r="J300" s="3" t="s">
        <v>20</v>
      </c>
      <c r="K300" s="16">
        <v>70.31</v>
      </c>
      <c r="L300" s="16"/>
    </row>
    <row r="301" ht="15.75" customHeight="1">
      <c r="A301" s="17" t="s">
        <v>16</v>
      </c>
      <c r="C301" s="4" t="s">
        <v>630</v>
      </c>
      <c r="D301" s="4" t="s">
        <v>631</v>
      </c>
      <c r="E301" s="4"/>
      <c r="F301" s="18" t="str">
        <f t="shared" si="18"/>
        <v>FOOD</v>
      </c>
      <c r="G301" s="18" t="s">
        <v>19</v>
      </c>
      <c r="H301" s="4" t="str">
        <f t="shared" si="3"/>
        <v>1000/KG</v>
      </c>
      <c r="I301" s="4">
        <v>1000.0</v>
      </c>
      <c r="J301" s="3" t="s">
        <v>35</v>
      </c>
      <c r="K301" s="16">
        <v>24.84</v>
      </c>
      <c r="L301" s="16"/>
    </row>
    <row r="302" ht="15.75" customHeight="1">
      <c r="A302" s="17" t="s">
        <v>16</v>
      </c>
      <c r="C302" s="20" t="s">
        <v>632</v>
      </c>
      <c r="D302" s="4" t="s">
        <v>633</v>
      </c>
      <c r="E302" s="4"/>
      <c r="F302" s="18" t="str">
        <f t="shared" si="18"/>
        <v>FOOD</v>
      </c>
      <c r="G302" s="18" t="s">
        <v>19</v>
      </c>
      <c r="H302" s="4" t="str">
        <f t="shared" si="3"/>
        <v>1/PACK</v>
      </c>
      <c r="I302" s="4">
        <v>1.0</v>
      </c>
      <c r="J302" s="3" t="s">
        <v>23</v>
      </c>
      <c r="K302" s="16">
        <v>121.19999999999999</v>
      </c>
      <c r="L302" s="16"/>
    </row>
    <row r="303" ht="15.75" customHeight="1">
      <c r="A303" s="17" t="s">
        <v>16</v>
      </c>
      <c r="C303" s="20" t="s">
        <v>634</v>
      </c>
      <c r="D303" s="4" t="s">
        <v>635</v>
      </c>
      <c r="E303" s="4"/>
      <c r="F303" s="18" t="str">
        <f t="shared" si="18"/>
        <v>FOOD</v>
      </c>
      <c r="G303" s="18" t="s">
        <v>19</v>
      </c>
      <c r="H303" s="4" t="str">
        <f t="shared" si="3"/>
        <v>500/KG</v>
      </c>
      <c r="I303" s="18">
        <v>500.0</v>
      </c>
      <c r="J303" s="3" t="s">
        <v>35</v>
      </c>
      <c r="K303" s="16">
        <v>245.0</v>
      </c>
      <c r="L303" s="16"/>
    </row>
    <row r="304" ht="15.75" customHeight="1">
      <c r="A304" s="17" t="s">
        <v>16</v>
      </c>
      <c r="C304" s="4" t="s">
        <v>636</v>
      </c>
      <c r="D304" s="4" t="s">
        <v>637</v>
      </c>
      <c r="E304" s="4"/>
      <c r="F304" s="18" t="str">
        <f t="shared" si="18"/>
        <v>FOOD</v>
      </c>
      <c r="G304" s="18" t="s">
        <v>19</v>
      </c>
      <c r="H304" s="4" t="str">
        <f t="shared" si="3"/>
        <v>1000/KG</v>
      </c>
      <c r="I304" s="4">
        <v>1000.0</v>
      </c>
      <c r="J304" s="3" t="s">
        <v>35</v>
      </c>
      <c r="K304" s="16">
        <v>337.5</v>
      </c>
      <c r="L304" s="16"/>
    </row>
    <row r="305" ht="15.75" customHeight="1">
      <c r="A305" s="17" t="s">
        <v>16</v>
      </c>
      <c r="C305" s="4" t="s">
        <v>638</v>
      </c>
      <c r="D305" s="4" t="s">
        <v>639</v>
      </c>
      <c r="E305" s="4"/>
      <c r="F305" s="18" t="str">
        <f t="shared" si="18"/>
        <v>FOOD</v>
      </c>
      <c r="G305" s="18" t="s">
        <v>19</v>
      </c>
      <c r="H305" s="4" t="str">
        <f t="shared" si="3"/>
        <v>10/Whole</v>
      </c>
      <c r="I305" s="4">
        <v>10.0</v>
      </c>
      <c r="J305" s="3" t="s">
        <v>110</v>
      </c>
      <c r="K305" s="16">
        <v>365.90000000000003</v>
      </c>
      <c r="L305" s="16"/>
    </row>
    <row r="306" ht="15.75" customHeight="1">
      <c r="A306" s="17" t="s">
        <v>16</v>
      </c>
      <c r="C306" s="4" t="s">
        <v>640</v>
      </c>
      <c r="D306" s="4" t="s">
        <v>641</v>
      </c>
      <c r="E306" s="4"/>
      <c r="F306" s="18" t="str">
        <f t="shared" si="18"/>
        <v>FOOD</v>
      </c>
      <c r="G306" s="18" t="s">
        <v>19</v>
      </c>
      <c r="H306" s="4" t="str">
        <f t="shared" si="3"/>
        <v>1000/KG</v>
      </c>
      <c r="I306" s="4">
        <v>1000.0</v>
      </c>
      <c r="J306" s="3" t="s">
        <v>35</v>
      </c>
      <c r="K306" s="16">
        <v>132.53</v>
      </c>
      <c r="L306" s="16"/>
    </row>
    <row r="307" ht="15.75" customHeight="1">
      <c r="A307" s="17" t="s">
        <v>16</v>
      </c>
      <c r="C307" s="4" t="s">
        <v>642</v>
      </c>
      <c r="D307" s="4" t="s">
        <v>643</v>
      </c>
      <c r="E307" s="4"/>
      <c r="F307" s="18" t="str">
        <f t="shared" si="18"/>
        <v>FOOD</v>
      </c>
      <c r="G307" s="18" t="s">
        <v>19</v>
      </c>
      <c r="H307" s="4" t="str">
        <f t="shared" si="3"/>
        <v>500/PACK</v>
      </c>
      <c r="I307" s="4">
        <v>500.0</v>
      </c>
      <c r="J307" s="3" t="s">
        <v>23</v>
      </c>
      <c r="K307" s="16">
        <v>278.90000000000003</v>
      </c>
      <c r="L307" s="16"/>
    </row>
    <row r="308" ht="15.75" customHeight="1">
      <c r="A308" s="17" t="s">
        <v>16</v>
      </c>
      <c r="C308" s="20" t="s">
        <v>644</v>
      </c>
      <c r="D308" s="4" t="s">
        <v>645</v>
      </c>
      <c r="E308" s="4"/>
      <c r="F308" s="18" t="s">
        <v>40</v>
      </c>
      <c r="G308" s="18" t="s">
        <v>41</v>
      </c>
      <c r="H308" s="4" t="str">
        <f t="shared" si="3"/>
        <v>1/PC</v>
      </c>
      <c r="I308" s="4">
        <v>1.0</v>
      </c>
      <c r="J308" s="3" t="s">
        <v>42</v>
      </c>
      <c r="K308" s="16">
        <v>1.35</v>
      </c>
      <c r="L308" s="16"/>
    </row>
    <row r="309" ht="15.75" customHeight="1">
      <c r="A309" s="17" t="s">
        <v>16</v>
      </c>
      <c r="C309" s="4" t="s">
        <v>646</v>
      </c>
      <c r="D309" s="4" t="s">
        <v>647</v>
      </c>
      <c r="E309" s="4"/>
      <c r="F309" s="18" t="str">
        <f t="shared" ref="F309:F325" si="19">G309</f>
        <v>FOOD</v>
      </c>
      <c r="G309" s="18" t="s">
        <v>19</v>
      </c>
      <c r="H309" s="4" t="str">
        <f t="shared" si="3"/>
        <v>1000/KG</v>
      </c>
      <c r="I309" s="18">
        <v>1000.0</v>
      </c>
      <c r="J309" s="19" t="s">
        <v>35</v>
      </c>
      <c r="K309" s="16">
        <v>609.38</v>
      </c>
      <c r="L309" s="16"/>
    </row>
    <row r="310" ht="15.75" customHeight="1">
      <c r="A310" s="17" t="s">
        <v>16</v>
      </c>
      <c r="C310" s="4" t="s">
        <v>648</v>
      </c>
      <c r="D310" s="4" t="s">
        <v>649</v>
      </c>
      <c r="E310" s="4"/>
      <c r="F310" s="18" t="str">
        <f t="shared" si="19"/>
        <v>FOOD</v>
      </c>
      <c r="G310" s="18" t="s">
        <v>19</v>
      </c>
      <c r="H310" s="4" t="str">
        <f t="shared" si="3"/>
        <v>1000/KG</v>
      </c>
      <c r="I310" s="4">
        <v>1000.0</v>
      </c>
      <c r="J310" s="3" t="s">
        <v>35</v>
      </c>
      <c r="K310" s="16">
        <v>675.0</v>
      </c>
      <c r="L310" s="16"/>
    </row>
    <row r="311" ht="15.75" customHeight="1">
      <c r="A311" s="17" t="s">
        <v>16</v>
      </c>
      <c r="C311" s="4" t="s">
        <v>650</v>
      </c>
      <c r="D311" s="4" t="s">
        <v>651</v>
      </c>
      <c r="E311" s="4"/>
      <c r="F311" s="18" t="str">
        <f t="shared" si="19"/>
        <v>FOOD</v>
      </c>
      <c r="G311" s="18" t="s">
        <v>19</v>
      </c>
      <c r="H311" s="4" t="str">
        <f t="shared" si="3"/>
        <v>1000/KG</v>
      </c>
      <c r="I311" s="4">
        <v>1000.0</v>
      </c>
      <c r="J311" s="3" t="s">
        <v>35</v>
      </c>
      <c r="K311" s="16">
        <v>675.0</v>
      </c>
      <c r="L311" s="16"/>
    </row>
    <row r="312" ht="15.75" customHeight="1">
      <c r="A312" s="17" t="s">
        <v>16</v>
      </c>
      <c r="C312" s="20" t="s">
        <v>652</v>
      </c>
      <c r="D312" s="4" t="s">
        <v>653</v>
      </c>
      <c r="E312" s="4"/>
      <c r="F312" s="18" t="str">
        <f t="shared" si="19"/>
        <v>FOOD</v>
      </c>
      <c r="G312" s="18" t="s">
        <v>19</v>
      </c>
      <c r="H312" s="4" t="str">
        <f t="shared" si="3"/>
        <v>10/whole</v>
      </c>
      <c r="I312" s="4">
        <v>10.0</v>
      </c>
      <c r="J312" s="19" t="s">
        <v>654</v>
      </c>
      <c r="K312" s="16">
        <v>845.9</v>
      </c>
      <c r="L312" s="16"/>
    </row>
    <row r="313" ht="15.75" customHeight="1">
      <c r="A313" s="17" t="s">
        <v>16</v>
      </c>
      <c r="C313" s="4" t="s">
        <v>655</v>
      </c>
      <c r="D313" s="4" t="s">
        <v>656</v>
      </c>
      <c r="E313" s="4"/>
      <c r="F313" s="18" t="str">
        <f t="shared" si="19"/>
        <v>FOOD</v>
      </c>
      <c r="G313" s="18" t="s">
        <v>19</v>
      </c>
      <c r="H313" s="4" t="str">
        <f t="shared" si="3"/>
        <v>10/WHOLE</v>
      </c>
      <c r="I313" s="4">
        <v>10.0</v>
      </c>
      <c r="J313" s="3" t="s">
        <v>57</v>
      </c>
      <c r="K313" s="16">
        <v>615.3000000000001</v>
      </c>
      <c r="L313" s="16"/>
    </row>
    <row r="314" ht="15.75" customHeight="1">
      <c r="A314" s="17" t="s">
        <v>16</v>
      </c>
      <c r="C314" s="20" t="s">
        <v>657</v>
      </c>
      <c r="D314" s="4" t="s">
        <v>658</v>
      </c>
      <c r="E314" s="4"/>
      <c r="F314" s="18" t="str">
        <f t="shared" si="19"/>
        <v>FOOD</v>
      </c>
      <c r="G314" s="18" t="s">
        <v>19</v>
      </c>
      <c r="H314" s="4" t="str">
        <f t="shared" si="3"/>
        <v>1/PACK</v>
      </c>
      <c r="I314" s="18">
        <v>1.0</v>
      </c>
      <c r="J314" s="3" t="s">
        <v>23</v>
      </c>
      <c r="K314" s="16">
        <v>263.5294117647059</v>
      </c>
      <c r="L314" s="16"/>
    </row>
    <row r="315" ht="15.75" customHeight="1">
      <c r="A315" s="17" t="s">
        <v>16</v>
      </c>
      <c r="C315" s="4" t="s">
        <v>659</v>
      </c>
      <c r="D315" s="4" t="s">
        <v>660</v>
      </c>
      <c r="E315" s="4"/>
      <c r="F315" s="18" t="str">
        <f t="shared" si="19"/>
        <v>FOOD</v>
      </c>
      <c r="G315" s="18" t="s">
        <v>19</v>
      </c>
      <c r="H315" s="4" t="str">
        <f t="shared" si="3"/>
        <v>5/PACK</v>
      </c>
      <c r="I315" s="28">
        <v>5.0</v>
      </c>
      <c r="J315" s="3" t="s">
        <v>23</v>
      </c>
      <c r="K315" s="16">
        <v>258.90000000000003</v>
      </c>
      <c r="L315" s="16"/>
    </row>
    <row r="316" ht="15.75" customHeight="1">
      <c r="A316" s="17" t="s">
        <v>16</v>
      </c>
      <c r="C316" s="4" t="s">
        <v>661</v>
      </c>
      <c r="D316" s="4" t="s">
        <v>662</v>
      </c>
      <c r="E316" s="4"/>
      <c r="F316" s="18" t="str">
        <f t="shared" si="19"/>
        <v>FOOD</v>
      </c>
      <c r="G316" s="18" t="s">
        <v>19</v>
      </c>
      <c r="H316" s="4" t="str">
        <f t="shared" si="3"/>
        <v>70/PACK</v>
      </c>
      <c r="I316" s="4">
        <v>70.0</v>
      </c>
      <c r="J316" s="3" t="s">
        <v>23</v>
      </c>
      <c r="K316" s="16">
        <v>23.6</v>
      </c>
      <c r="L316" s="16"/>
    </row>
    <row r="317" ht="15.75" customHeight="1">
      <c r="A317" s="17" t="s">
        <v>16</v>
      </c>
      <c r="C317" s="20" t="s">
        <v>663</v>
      </c>
      <c r="D317" s="21" t="s">
        <v>664</v>
      </c>
      <c r="E317" s="4"/>
      <c r="F317" s="18" t="str">
        <f t="shared" si="19"/>
        <v>FOOD</v>
      </c>
      <c r="G317" s="18" t="s">
        <v>19</v>
      </c>
      <c r="H317" s="4" t="str">
        <f t="shared" si="3"/>
        <v>1/PACK</v>
      </c>
      <c r="I317" s="4">
        <v>1.0</v>
      </c>
      <c r="J317" s="3" t="s">
        <v>23</v>
      </c>
      <c r="K317" s="16">
        <v>582.3529411764706</v>
      </c>
      <c r="L317" s="16"/>
    </row>
    <row r="318" ht="15.75" customHeight="1">
      <c r="A318" s="17" t="s">
        <v>16</v>
      </c>
      <c r="C318" s="4" t="s">
        <v>665</v>
      </c>
      <c r="D318" s="4" t="s">
        <v>666</v>
      </c>
      <c r="E318" s="4"/>
      <c r="F318" s="18" t="str">
        <f t="shared" si="19"/>
        <v>FOOD</v>
      </c>
      <c r="G318" s="18" t="s">
        <v>19</v>
      </c>
      <c r="H318" s="4" t="str">
        <f t="shared" si="3"/>
        <v>1000/KG</v>
      </c>
      <c r="I318" s="4">
        <v>1000.0</v>
      </c>
      <c r="J318" s="3" t="s">
        <v>35</v>
      </c>
      <c r="K318" s="16">
        <v>385.6</v>
      </c>
      <c r="L318" s="16"/>
    </row>
    <row r="319" ht="15.75" customHeight="1">
      <c r="A319" s="17" t="s">
        <v>16</v>
      </c>
      <c r="C319" s="4" t="s">
        <v>667</v>
      </c>
      <c r="D319" s="4" t="s">
        <v>668</v>
      </c>
      <c r="E319" s="4"/>
      <c r="F319" s="18" t="str">
        <f t="shared" si="19"/>
        <v>FOOD</v>
      </c>
      <c r="G319" s="18" t="s">
        <v>19</v>
      </c>
      <c r="H319" s="4" t="str">
        <f t="shared" si="3"/>
        <v>4/PACK</v>
      </c>
      <c r="I319" s="4">
        <v>4.0</v>
      </c>
      <c r="J319" s="3" t="s">
        <v>23</v>
      </c>
      <c r="K319" s="16">
        <v>117.69999999999999</v>
      </c>
      <c r="L319" s="16"/>
    </row>
    <row r="320" ht="15.75" customHeight="1">
      <c r="A320" s="17" t="s">
        <v>16</v>
      </c>
      <c r="C320" s="4" t="s">
        <v>669</v>
      </c>
      <c r="D320" s="4" t="s">
        <v>670</v>
      </c>
      <c r="E320" s="4"/>
      <c r="F320" s="18" t="str">
        <f t="shared" si="19"/>
        <v>FOOD</v>
      </c>
      <c r="G320" s="18" t="s">
        <v>19</v>
      </c>
      <c r="H320" s="4" t="str">
        <f t="shared" si="3"/>
        <v>8/pack</v>
      </c>
      <c r="I320" s="28">
        <v>8.0</v>
      </c>
      <c r="J320" s="29" t="s">
        <v>134</v>
      </c>
      <c r="K320" s="16">
        <v>242.88</v>
      </c>
      <c r="L320" s="16"/>
    </row>
    <row r="321" ht="15.75" customHeight="1">
      <c r="A321" s="17" t="s">
        <v>16</v>
      </c>
      <c r="C321" s="4" t="s">
        <v>671</v>
      </c>
      <c r="D321" s="4" t="s">
        <v>672</v>
      </c>
      <c r="E321" s="4"/>
      <c r="F321" s="18" t="str">
        <f t="shared" si="19"/>
        <v>FOOD</v>
      </c>
      <c r="G321" s="18" t="s">
        <v>19</v>
      </c>
      <c r="H321" s="4" t="str">
        <f t="shared" si="3"/>
        <v>1000/LIT</v>
      </c>
      <c r="I321" s="4">
        <v>1000.0</v>
      </c>
      <c r="J321" s="3" t="s">
        <v>20</v>
      </c>
      <c r="K321" s="16">
        <v>324.69</v>
      </c>
      <c r="L321" s="16"/>
    </row>
    <row r="322" ht="15.75" customHeight="1">
      <c r="A322" s="17" t="s">
        <v>16</v>
      </c>
      <c r="C322" s="4" t="s">
        <v>673</v>
      </c>
      <c r="D322" s="4" t="s">
        <v>674</v>
      </c>
      <c r="E322" s="4"/>
      <c r="F322" s="18" t="str">
        <f t="shared" si="19"/>
        <v>FOOD</v>
      </c>
      <c r="G322" s="18" t="s">
        <v>19</v>
      </c>
      <c r="H322" s="4" t="str">
        <f t="shared" si="3"/>
        <v>1000/LIT</v>
      </c>
      <c r="I322" s="4">
        <v>1000.0</v>
      </c>
      <c r="J322" s="3" t="s">
        <v>20</v>
      </c>
      <c r="K322" s="16">
        <v>242.73</v>
      </c>
      <c r="L322" s="16"/>
    </row>
    <row r="323" ht="15.75" customHeight="1">
      <c r="A323" s="17" t="s">
        <v>16</v>
      </c>
      <c r="C323" s="4" t="s">
        <v>675</v>
      </c>
      <c r="D323" s="4" t="s">
        <v>676</v>
      </c>
      <c r="E323" s="4"/>
      <c r="F323" s="18" t="str">
        <f t="shared" si="19"/>
        <v>FOOD</v>
      </c>
      <c r="G323" s="18" t="s">
        <v>19</v>
      </c>
      <c r="H323" s="4" t="str">
        <f t="shared" si="3"/>
        <v>1000/LIT</v>
      </c>
      <c r="I323" s="4">
        <v>1000.0</v>
      </c>
      <c r="J323" s="3" t="s">
        <v>20</v>
      </c>
      <c r="K323" s="16">
        <v>89.61</v>
      </c>
      <c r="L323" s="16"/>
    </row>
    <row r="324" ht="15.75" customHeight="1">
      <c r="A324" s="17" t="s">
        <v>16</v>
      </c>
      <c r="C324" s="4" t="s">
        <v>677</v>
      </c>
      <c r="D324" s="4" t="s">
        <v>678</v>
      </c>
      <c r="E324" s="4"/>
      <c r="F324" s="18" t="str">
        <f t="shared" si="19"/>
        <v>FOOD</v>
      </c>
      <c r="G324" s="18" t="s">
        <v>19</v>
      </c>
      <c r="H324" s="4" t="str">
        <f t="shared" si="3"/>
        <v>1000/LIT</v>
      </c>
      <c r="I324" s="4">
        <v>1000.0</v>
      </c>
      <c r="J324" s="3" t="s">
        <v>20</v>
      </c>
      <c r="K324" s="16">
        <v>77.42</v>
      </c>
      <c r="L324" s="16"/>
    </row>
    <row r="325" ht="15.75" customHeight="1">
      <c r="A325" s="17" t="s">
        <v>16</v>
      </c>
      <c r="C325" s="4" t="s">
        <v>679</v>
      </c>
      <c r="D325" s="4" t="s">
        <v>680</v>
      </c>
      <c r="E325" s="4"/>
      <c r="F325" s="18" t="str">
        <f t="shared" si="19"/>
        <v>FOOD</v>
      </c>
      <c r="G325" s="18" t="s">
        <v>19</v>
      </c>
      <c r="H325" s="4" t="str">
        <f t="shared" si="3"/>
        <v>1000/LIT</v>
      </c>
      <c r="I325" s="4">
        <v>1000.0</v>
      </c>
      <c r="J325" s="3" t="s">
        <v>20</v>
      </c>
      <c r="K325" s="16">
        <v>3234.0</v>
      </c>
      <c r="L325" s="16"/>
    </row>
    <row r="326" ht="15.75" customHeight="1">
      <c r="A326" s="17" t="s">
        <v>16</v>
      </c>
      <c r="C326" s="4" t="s">
        <v>681</v>
      </c>
      <c r="D326" s="4" t="s">
        <v>682</v>
      </c>
      <c r="E326" s="4"/>
      <c r="F326" s="18" t="s">
        <v>40</v>
      </c>
      <c r="G326" s="18" t="s">
        <v>41</v>
      </c>
      <c r="H326" s="4" t="str">
        <f t="shared" si="3"/>
        <v>1/PC</v>
      </c>
      <c r="I326" s="4">
        <v>1.0</v>
      </c>
      <c r="J326" s="3" t="s">
        <v>42</v>
      </c>
      <c r="K326" s="16">
        <v>35.89</v>
      </c>
      <c r="L326" s="16"/>
    </row>
    <row r="327" ht="15.75" customHeight="1">
      <c r="A327" s="17" t="s">
        <v>16</v>
      </c>
      <c r="C327" s="20" t="s">
        <v>681</v>
      </c>
      <c r="D327" s="4" t="s">
        <v>683</v>
      </c>
      <c r="E327" s="4"/>
      <c r="F327" s="18" t="s">
        <v>40</v>
      </c>
      <c r="G327" s="18" t="s">
        <v>41</v>
      </c>
      <c r="H327" s="4" t="str">
        <f t="shared" si="3"/>
        <v>30/PACK(30)</v>
      </c>
      <c r="I327" s="18">
        <v>30.0</v>
      </c>
      <c r="J327" s="3" t="s">
        <v>684</v>
      </c>
      <c r="K327" s="16">
        <v>1406.25</v>
      </c>
      <c r="L327" s="16"/>
    </row>
    <row r="328" ht="15.75" customHeight="1">
      <c r="A328" s="17" t="s">
        <v>16</v>
      </c>
      <c r="C328" s="4" t="s">
        <v>685</v>
      </c>
      <c r="D328" s="4" t="s">
        <v>686</v>
      </c>
      <c r="E328" s="4"/>
      <c r="F328" s="18" t="s">
        <v>40</v>
      </c>
      <c r="G328" s="18" t="s">
        <v>41</v>
      </c>
      <c r="H328" s="4" t="str">
        <f t="shared" si="3"/>
        <v>1/PC</v>
      </c>
      <c r="I328" s="4">
        <v>1.0</v>
      </c>
      <c r="J328" s="3" t="s">
        <v>42</v>
      </c>
      <c r="K328" s="16">
        <v>6.27</v>
      </c>
      <c r="L328" s="16"/>
    </row>
    <row r="329" ht="15.75" customHeight="1">
      <c r="A329" s="17" t="s">
        <v>16</v>
      </c>
      <c r="C329" s="20" t="s">
        <v>685</v>
      </c>
      <c r="D329" s="4" t="s">
        <v>687</v>
      </c>
      <c r="E329" s="4"/>
      <c r="F329" s="18" t="s">
        <v>40</v>
      </c>
      <c r="G329" s="18" t="s">
        <v>41</v>
      </c>
      <c r="H329" s="4" t="str">
        <f t="shared" si="3"/>
        <v>30/PACK(30)</v>
      </c>
      <c r="I329" s="18">
        <v>30.0</v>
      </c>
      <c r="J329" s="3" t="s">
        <v>684</v>
      </c>
      <c r="K329" s="16">
        <v>42.0</v>
      </c>
      <c r="L329" s="16"/>
    </row>
    <row r="330" ht="15.75" customHeight="1">
      <c r="A330" s="17" t="s">
        <v>16</v>
      </c>
      <c r="C330" s="4" t="s">
        <v>688</v>
      </c>
      <c r="D330" s="4" t="s">
        <v>689</v>
      </c>
      <c r="E330" s="4"/>
      <c r="F330" s="18" t="str">
        <f t="shared" ref="F330:F338" si="20">G330</f>
        <v>FOOD</v>
      </c>
      <c r="G330" s="18" t="s">
        <v>19</v>
      </c>
      <c r="H330" s="4" t="str">
        <f t="shared" si="3"/>
        <v>1000/KG</v>
      </c>
      <c r="I330" s="4">
        <v>1000.0</v>
      </c>
      <c r="J330" s="3" t="s">
        <v>35</v>
      </c>
      <c r="K330" s="16">
        <v>587.08</v>
      </c>
      <c r="L330" s="16"/>
    </row>
    <row r="331" ht="15.75" customHeight="1">
      <c r="A331" s="17" t="s">
        <v>16</v>
      </c>
      <c r="C331" s="4" t="s">
        <v>690</v>
      </c>
      <c r="D331" s="4" t="s">
        <v>691</v>
      </c>
      <c r="E331" s="4"/>
      <c r="F331" s="18" t="str">
        <f t="shared" si="20"/>
        <v>FOOD</v>
      </c>
      <c r="G331" s="18" t="s">
        <v>19</v>
      </c>
      <c r="H331" s="4" t="str">
        <f t="shared" si="3"/>
        <v>10/WHOLE</v>
      </c>
      <c r="I331" s="4">
        <v>10.0</v>
      </c>
      <c r="J331" s="3" t="s">
        <v>57</v>
      </c>
      <c r="K331" s="16">
        <v>400.0</v>
      </c>
      <c r="L331" s="16"/>
    </row>
    <row r="332" ht="15.75" customHeight="1">
      <c r="A332" s="17" t="s">
        <v>16</v>
      </c>
      <c r="C332" s="4" t="s">
        <v>692</v>
      </c>
      <c r="D332" s="4" t="s">
        <v>693</v>
      </c>
      <c r="E332" s="4"/>
      <c r="F332" s="18" t="str">
        <f t="shared" si="20"/>
        <v>FOOD</v>
      </c>
      <c r="G332" s="18" t="s">
        <v>19</v>
      </c>
      <c r="H332" s="4" t="str">
        <f t="shared" si="3"/>
        <v>1000/KG</v>
      </c>
      <c r="I332" s="4">
        <v>1000.0</v>
      </c>
      <c r="J332" s="3" t="s">
        <v>35</v>
      </c>
      <c r="K332" s="16">
        <v>1443.31</v>
      </c>
      <c r="L332" s="16"/>
    </row>
    <row r="333" ht="15.75" customHeight="1">
      <c r="A333" s="17" t="s">
        <v>16</v>
      </c>
      <c r="C333" s="4" t="s">
        <v>694</v>
      </c>
      <c r="D333" s="4" t="s">
        <v>695</v>
      </c>
      <c r="E333" s="4"/>
      <c r="F333" s="18" t="str">
        <f t="shared" si="20"/>
        <v>FOOD</v>
      </c>
      <c r="G333" s="18" t="s">
        <v>19</v>
      </c>
      <c r="H333" s="4" t="str">
        <f t="shared" si="3"/>
        <v>1000/KG</v>
      </c>
      <c r="I333" s="4">
        <v>1000.0</v>
      </c>
      <c r="J333" s="3" t="s">
        <v>35</v>
      </c>
      <c r="K333" s="16">
        <v>1231.16</v>
      </c>
      <c r="L333" s="16"/>
    </row>
    <row r="334" ht="15.75" customHeight="1">
      <c r="A334" s="17" t="s">
        <v>16</v>
      </c>
      <c r="C334" s="20" t="s">
        <v>696</v>
      </c>
      <c r="D334" s="4" t="s">
        <v>697</v>
      </c>
      <c r="E334" s="4"/>
      <c r="F334" s="18" t="str">
        <f t="shared" si="20"/>
        <v>FOOD</v>
      </c>
      <c r="G334" s="18" t="s">
        <v>19</v>
      </c>
      <c r="H334" s="4" t="str">
        <f t="shared" si="3"/>
        <v>8/WHOLE</v>
      </c>
      <c r="I334" s="25">
        <v>8.0</v>
      </c>
      <c r="J334" s="19" t="s">
        <v>57</v>
      </c>
      <c r="K334" s="16">
        <v>630.6</v>
      </c>
      <c r="L334" s="16"/>
    </row>
    <row r="335" ht="15.75" customHeight="1">
      <c r="A335" s="17" t="s">
        <v>16</v>
      </c>
      <c r="C335" s="4" t="s">
        <v>698</v>
      </c>
      <c r="D335" s="4" t="s">
        <v>699</v>
      </c>
      <c r="E335" s="4"/>
      <c r="F335" s="18" t="str">
        <f t="shared" si="20"/>
        <v>FOOD</v>
      </c>
      <c r="G335" s="18" t="s">
        <v>19</v>
      </c>
      <c r="H335" s="4" t="str">
        <f t="shared" si="3"/>
        <v>1000/LIT</v>
      </c>
      <c r="I335" s="4">
        <v>1000.0</v>
      </c>
      <c r="J335" s="3" t="s">
        <v>20</v>
      </c>
      <c r="K335" s="16">
        <v>98.97</v>
      </c>
      <c r="L335" s="16"/>
    </row>
    <row r="336" ht="15.75" customHeight="1">
      <c r="A336" s="17" t="s">
        <v>16</v>
      </c>
      <c r="C336" s="20" t="s">
        <v>700</v>
      </c>
      <c r="D336" s="4" t="s">
        <v>701</v>
      </c>
      <c r="E336" s="4"/>
      <c r="F336" s="18" t="str">
        <f t="shared" si="20"/>
        <v>FOOD</v>
      </c>
      <c r="G336" s="18" t="s">
        <v>19</v>
      </c>
      <c r="H336" s="4" t="str">
        <f t="shared" si="3"/>
        <v>1/PC</v>
      </c>
      <c r="I336" s="18">
        <v>1.0</v>
      </c>
      <c r="J336" s="3" t="s">
        <v>42</v>
      </c>
      <c r="K336" s="16">
        <v>43.6</v>
      </c>
      <c r="L336" s="16"/>
    </row>
    <row r="337" ht="15.75" customHeight="1">
      <c r="A337" s="17" t="s">
        <v>16</v>
      </c>
      <c r="C337" s="4" t="s">
        <v>702</v>
      </c>
      <c r="D337" s="4" t="s">
        <v>703</v>
      </c>
      <c r="E337" s="4"/>
      <c r="F337" s="18" t="str">
        <f t="shared" si="20"/>
        <v>FOOD</v>
      </c>
      <c r="G337" s="18" t="s">
        <v>19</v>
      </c>
      <c r="H337" s="4" t="str">
        <f t="shared" si="3"/>
        <v>4/PACK</v>
      </c>
      <c r="I337" s="28">
        <v>4.0</v>
      </c>
      <c r="J337" s="29" t="s">
        <v>23</v>
      </c>
      <c r="K337" s="16">
        <v>207.1</v>
      </c>
      <c r="L337" s="16"/>
    </row>
    <row r="338" ht="15.75" customHeight="1">
      <c r="A338" s="17" t="s">
        <v>16</v>
      </c>
      <c r="C338" s="21" t="s">
        <v>704</v>
      </c>
      <c r="D338" s="4" t="s">
        <v>705</v>
      </c>
      <c r="E338" s="4"/>
      <c r="F338" s="18" t="str">
        <f t="shared" si="20"/>
        <v>FOOD</v>
      </c>
      <c r="G338" s="18" t="s">
        <v>19</v>
      </c>
      <c r="H338" s="4" t="str">
        <f t="shared" si="3"/>
        <v>6/PACK</v>
      </c>
      <c r="I338" s="4">
        <v>6.0</v>
      </c>
      <c r="J338" s="3" t="s">
        <v>23</v>
      </c>
      <c r="K338" s="16">
        <v>184.79999999999998</v>
      </c>
      <c r="L338" s="16"/>
    </row>
    <row r="339" ht="15.75" customHeight="1">
      <c r="A339" s="17" t="s">
        <v>16</v>
      </c>
      <c r="C339" s="4" t="s">
        <v>706</v>
      </c>
      <c r="D339" s="4" t="s">
        <v>707</v>
      </c>
      <c r="E339" s="4"/>
      <c r="F339" s="18" t="s">
        <v>40</v>
      </c>
      <c r="G339" s="18" t="s">
        <v>367</v>
      </c>
      <c r="H339" s="4" t="str">
        <f t="shared" si="3"/>
        <v>1000/LIT</v>
      </c>
      <c r="I339" s="4">
        <v>1000.0</v>
      </c>
      <c r="J339" s="3" t="s">
        <v>20</v>
      </c>
      <c r="K339" s="16">
        <v>391.36</v>
      </c>
      <c r="L339" s="16"/>
    </row>
    <row r="340" ht="15.75" customHeight="1">
      <c r="A340" s="17" t="s">
        <v>16</v>
      </c>
      <c r="C340" s="4" t="s">
        <v>708</v>
      </c>
      <c r="D340" s="4" t="s">
        <v>709</v>
      </c>
      <c r="E340" s="4"/>
      <c r="F340" s="18" t="str">
        <f t="shared" ref="F340:F341" si="21">G340</f>
        <v>FOOD</v>
      </c>
      <c r="G340" s="18" t="s">
        <v>19</v>
      </c>
      <c r="H340" s="4" t="str">
        <f t="shared" si="3"/>
        <v>4/PACK</v>
      </c>
      <c r="I340" s="4">
        <v>4.0</v>
      </c>
      <c r="J340" s="3" t="s">
        <v>23</v>
      </c>
      <c r="K340" s="16">
        <v>136.5</v>
      </c>
      <c r="L340" s="16"/>
    </row>
    <row r="341" ht="15.75" customHeight="1">
      <c r="A341" s="17" t="s">
        <v>16</v>
      </c>
      <c r="C341" s="20" t="s">
        <v>710</v>
      </c>
      <c r="D341" s="4" t="s">
        <v>711</v>
      </c>
      <c r="E341" s="4"/>
      <c r="F341" s="18" t="str">
        <f t="shared" si="21"/>
        <v>FOOD</v>
      </c>
      <c r="G341" s="18" t="s">
        <v>19</v>
      </c>
      <c r="H341" s="4" t="str">
        <f t="shared" si="3"/>
        <v>7/SLAB</v>
      </c>
      <c r="I341" s="18">
        <v>7.0</v>
      </c>
      <c r="J341" s="3" t="s">
        <v>712</v>
      </c>
      <c r="K341" s="16">
        <v>129.97</v>
      </c>
      <c r="L341" s="16"/>
    </row>
    <row r="342" ht="15.75" customHeight="1">
      <c r="A342" s="17" t="s">
        <v>16</v>
      </c>
      <c r="C342" s="4" t="s">
        <v>713</v>
      </c>
      <c r="D342" s="4" t="s">
        <v>714</v>
      </c>
      <c r="E342" s="4"/>
      <c r="F342" s="18" t="s">
        <v>40</v>
      </c>
      <c r="G342" s="18" t="s">
        <v>41</v>
      </c>
      <c r="H342" s="4" t="str">
        <f t="shared" si="3"/>
        <v>1/PC</v>
      </c>
      <c r="I342" s="4">
        <v>1.0</v>
      </c>
      <c r="J342" s="3" t="s">
        <v>42</v>
      </c>
      <c r="K342" s="16">
        <v>1.6</v>
      </c>
      <c r="L342" s="16"/>
    </row>
    <row r="343" ht="15.75" customHeight="1">
      <c r="A343" s="17" t="s">
        <v>16</v>
      </c>
      <c r="C343" s="4" t="s">
        <v>715</v>
      </c>
      <c r="D343" s="4" t="s">
        <v>716</v>
      </c>
      <c r="E343" s="4"/>
      <c r="F343" s="18" t="s">
        <v>40</v>
      </c>
      <c r="G343" s="18" t="s">
        <v>41</v>
      </c>
      <c r="H343" s="4" t="str">
        <f t="shared" si="3"/>
        <v>1/PC</v>
      </c>
      <c r="I343" s="4">
        <v>1.0</v>
      </c>
      <c r="J343" s="3" t="s">
        <v>42</v>
      </c>
      <c r="K343" s="16">
        <v>27.97</v>
      </c>
      <c r="L343" s="16"/>
    </row>
    <row r="344" ht="15.75" customHeight="1">
      <c r="A344" s="17" t="s">
        <v>16</v>
      </c>
      <c r="C344" s="20" t="s">
        <v>717</v>
      </c>
      <c r="D344" s="3" t="s">
        <v>718</v>
      </c>
      <c r="E344" s="4"/>
      <c r="F344" s="18" t="s">
        <v>40</v>
      </c>
      <c r="G344" s="18" t="s">
        <v>41</v>
      </c>
      <c r="H344" s="4" t="str">
        <f t="shared" si="3"/>
        <v>100/PACK</v>
      </c>
      <c r="I344" s="4">
        <v>100.0</v>
      </c>
      <c r="J344" s="19" t="s">
        <v>23</v>
      </c>
      <c r="K344" s="16">
        <f>15.95*100</f>
        <v>1595</v>
      </c>
      <c r="L344" s="16"/>
    </row>
    <row r="345" ht="15.75" customHeight="1">
      <c r="A345" s="17" t="s">
        <v>16</v>
      </c>
      <c r="C345" s="4" t="s">
        <v>719</v>
      </c>
      <c r="D345" s="4" t="s">
        <v>720</v>
      </c>
      <c r="E345" s="4"/>
      <c r="F345" s="18" t="s">
        <v>40</v>
      </c>
      <c r="G345" s="18" t="s">
        <v>41</v>
      </c>
      <c r="H345" s="4" t="str">
        <f t="shared" si="3"/>
        <v>1/PC</v>
      </c>
      <c r="I345" s="4">
        <v>1.0</v>
      </c>
      <c r="J345" s="3" t="s">
        <v>42</v>
      </c>
      <c r="K345" s="16">
        <v>9.28</v>
      </c>
      <c r="L345" s="16"/>
    </row>
    <row r="346" ht="15.75" customHeight="1">
      <c r="A346" s="17" t="s">
        <v>16</v>
      </c>
      <c r="C346" s="20" t="s">
        <v>721</v>
      </c>
      <c r="D346" s="3" t="s">
        <v>722</v>
      </c>
      <c r="E346" s="4"/>
      <c r="F346" s="18" t="s">
        <v>40</v>
      </c>
      <c r="G346" s="18" t="s">
        <v>41</v>
      </c>
      <c r="H346" s="4" t="str">
        <f t="shared" si="3"/>
        <v>100/PACK</v>
      </c>
      <c r="I346" s="4">
        <v>100.0</v>
      </c>
      <c r="J346" s="19" t="s">
        <v>23</v>
      </c>
      <c r="K346" s="16">
        <f>11.62*100</f>
        <v>1162</v>
      </c>
      <c r="L346" s="16"/>
    </row>
    <row r="347" ht="15.75" customHeight="1">
      <c r="A347" s="17" t="s">
        <v>16</v>
      </c>
      <c r="C347" s="4" t="s">
        <v>723</v>
      </c>
      <c r="D347" s="4" t="s">
        <v>724</v>
      </c>
      <c r="E347" s="4"/>
      <c r="F347" s="18" t="s">
        <v>40</v>
      </c>
      <c r="G347" s="18" t="s">
        <v>41</v>
      </c>
      <c r="H347" s="4" t="str">
        <f t="shared" si="3"/>
        <v>1/PC</v>
      </c>
      <c r="I347" s="4">
        <v>1.0</v>
      </c>
      <c r="J347" s="3" t="s">
        <v>42</v>
      </c>
      <c r="K347" s="16">
        <v>2.48</v>
      </c>
      <c r="L347" s="16"/>
    </row>
    <row r="348" ht="15.75" customHeight="1">
      <c r="A348" s="17" t="s">
        <v>16</v>
      </c>
      <c r="C348" s="20" t="s">
        <v>723</v>
      </c>
      <c r="D348" s="21" t="s">
        <v>725</v>
      </c>
      <c r="E348" s="4"/>
      <c r="F348" s="18" t="s">
        <v>40</v>
      </c>
      <c r="G348" s="18" t="s">
        <v>41</v>
      </c>
      <c r="H348" s="4" t="str">
        <f t="shared" si="3"/>
        <v>50/PACK(50)</v>
      </c>
      <c r="I348" s="4">
        <v>50.0</v>
      </c>
      <c r="J348" s="3" t="s">
        <v>573</v>
      </c>
      <c r="K348" s="16">
        <v>47.25</v>
      </c>
      <c r="L348" s="16"/>
    </row>
    <row r="349" ht="15.75" customHeight="1">
      <c r="A349" s="17" t="s">
        <v>16</v>
      </c>
      <c r="C349" s="4" t="s">
        <v>726</v>
      </c>
      <c r="D349" s="4" t="s">
        <v>727</v>
      </c>
      <c r="E349" s="4"/>
      <c r="F349" s="18" t="s">
        <v>40</v>
      </c>
      <c r="G349" s="18" t="s">
        <v>41</v>
      </c>
      <c r="H349" s="4" t="str">
        <f t="shared" si="3"/>
        <v>1/PC</v>
      </c>
      <c r="I349" s="4">
        <v>1.0</v>
      </c>
      <c r="J349" s="3" t="s">
        <v>42</v>
      </c>
      <c r="K349" s="16">
        <v>2.15</v>
      </c>
      <c r="L349" s="16"/>
    </row>
    <row r="350" ht="15.75" customHeight="1">
      <c r="A350" s="17" t="s">
        <v>16</v>
      </c>
      <c r="C350" s="20" t="s">
        <v>726</v>
      </c>
      <c r="D350" s="4" t="s">
        <v>728</v>
      </c>
      <c r="E350" s="4"/>
      <c r="F350" s="18" t="s">
        <v>40</v>
      </c>
      <c r="G350" s="18" t="s">
        <v>41</v>
      </c>
      <c r="H350" s="4" t="str">
        <f t="shared" si="3"/>
        <v>25/SLV(25)</v>
      </c>
      <c r="I350" s="18">
        <v>25.0</v>
      </c>
      <c r="J350" s="3" t="s">
        <v>729</v>
      </c>
      <c r="K350" s="16">
        <f>2.71*25</f>
        <v>67.75</v>
      </c>
      <c r="L350" s="16"/>
    </row>
    <row r="351" ht="15.75" customHeight="1">
      <c r="A351" s="17" t="s">
        <v>16</v>
      </c>
      <c r="C351" s="4" t="s">
        <v>730</v>
      </c>
      <c r="D351" s="4" t="s">
        <v>731</v>
      </c>
      <c r="E351" s="4"/>
      <c r="F351" s="18" t="s">
        <v>40</v>
      </c>
      <c r="G351" s="18" t="s">
        <v>41</v>
      </c>
      <c r="H351" s="4" t="str">
        <f t="shared" si="3"/>
        <v>1000/KG</v>
      </c>
      <c r="I351" s="4">
        <v>1000.0</v>
      </c>
      <c r="J351" s="3" t="s">
        <v>35</v>
      </c>
      <c r="K351" s="16">
        <v>547.61</v>
      </c>
      <c r="L351" s="16"/>
    </row>
    <row r="352" ht="15.75" customHeight="1">
      <c r="A352" s="17" t="s">
        <v>16</v>
      </c>
      <c r="C352" s="4" t="s">
        <v>732</v>
      </c>
      <c r="D352" s="4" t="s">
        <v>733</v>
      </c>
      <c r="E352" s="4"/>
      <c r="F352" s="18" t="str">
        <f t="shared" ref="F352:F362" si="22">G352</f>
        <v>FOOD</v>
      </c>
      <c r="G352" s="18" t="s">
        <v>19</v>
      </c>
      <c r="H352" s="4" t="str">
        <f t="shared" si="3"/>
        <v>6/BOX</v>
      </c>
      <c r="I352" s="4">
        <v>6.0</v>
      </c>
      <c r="J352" s="3" t="s">
        <v>734</v>
      </c>
      <c r="K352" s="16">
        <v>188.29999999999998</v>
      </c>
      <c r="L352" s="16"/>
    </row>
    <row r="353" ht="15.75" customHeight="1">
      <c r="A353" s="17" t="s">
        <v>16</v>
      </c>
      <c r="C353" s="20" t="s">
        <v>735</v>
      </c>
      <c r="D353" s="4" t="s">
        <v>736</v>
      </c>
      <c r="E353" s="4"/>
      <c r="F353" s="18" t="str">
        <f t="shared" si="22"/>
        <v>FOOD</v>
      </c>
      <c r="G353" s="18" t="s">
        <v>19</v>
      </c>
      <c r="H353" s="4" t="str">
        <f t="shared" si="3"/>
        <v>150/PACK</v>
      </c>
      <c r="I353" s="18">
        <v>150.0</v>
      </c>
      <c r="J353" s="3" t="s">
        <v>23</v>
      </c>
      <c r="K353" s="16">
        <v>128.29999999999998</v>
      </c>
      <c r="L353" s="16"/>
    </row>
    <row r="354" ht="15.75" customHeight="1">
      <c r="A354" s="17" t="s">
        <v>16</v>
      </c>
      <c r="C354" s="20" t="s">
        <v>737</v>
      </c>
      <c r="D354" s="4" t="s">
        <v>738</v>
      </c>
      <c r="E354" s="4"/>
      <c r="F354" s="18" t="str">
        <f t="shared" si="22"/>
        <v>FOOD</v>
      </c>
      <c r="G354" s="18" t="s">
        <v>19</v>
      </c>
      <c r="H354" s="4" t="str">
        <f t="shared" si="3"/>
        <v>100/PACK</v>
      </c>
      <c r="I354" s="18">
        <v>100.0</v>
      </c>
      <c r="J354" s="3" t="s">
        <v>23</v>
      </c>
      <c r="K354" s="16">
        <v>72.54</v>
      </c>
      <c r="L354" s="16"/>
    </row>
    <row r="355" ht="15.75" customHeight="1">
      <c r="A355" s="17" t="s">
        <v>16</v>
      </c>
      <c r="C355" s="20" t="s">
        <v>739</v>
      </c>
      <c r="D355" s="4" t="s">
        <v>740</v>
      </c>
      <c r="E355" s="4"/>
      <c r="F355" s="18" t="str">
        <f t="shared" si="22"/>
        <v>FOOD</v>
      </c>
      <c r="G355" s="18" t="s">
        <v>19</v>
      </c>
      <c r="H355" s="4" t="str">
        <f t="shared" si="3"/>
        <v>1000/KG</v>
      </c>
      <c r="I355" s="25">
        <v>1000.0</v>
      </c>
      <c r="J355" s="29" t="s">
        <v>35</v>
      </c>
      <c r="K355" s="16">
        <v>1753.21</v>
      </c>
      <c r="L355" s="16"/>
    </row>
    <row r="356" ht="15.75" customHeight="1">
      <c r="A356" s="17" t="s">
        <v>16</v>
      </c>
      <c r="C356" s="20" t="s">
        <v>741</v>
      </c>
      <c r="D356" s="4" t="s">
        <v>742</v>
      </c>
      <c r="E356" s="4"/>
      <c r="F356" s="18" t="str">
        <f t="shared" si="22"/>
        <v>FOOD</v>
      </c>
      <c r="G356" s="18" t="s">
        <v>19</v>
      </c>
      <c r="H356" s="4" t="str">
        <f t="shared" si="3"/>
        <v>25/PACK</v>
      </c>
      <c r="I356" s="18">
        <v>25.0</v>
      </c>
      <c r="J356" s="3" t="s">
        <v>23</v>
      </c>
      <c r="K356" s="16">
        <v>49.16</v>
      </c>
      <c r="L356" s="16"/>
    </row>
    <row r="357" ht="15.75" customHeight="1">
      <c r="A357" s="17" t="s">
        <v>16</v>
      </c>
      <c r="C357" s="4" t="s">
        <v>743</v>
      </c>
      <c r="D357" s="4" t="s">
        <v>744</v>
      </c>
      <c r="E357" s="4"/>
      <c r="F357" s="18" t="str">
        <f t="shared" si="22"/>
        <v>FOOD</v>
      </c>
      <c r="G357" s="18" t="s">
        <v>19</v>
      </c>
      <c r="H357" s="4" t="str">
        <f t="shared" si="3"/>
        <v>1000/KG</v>
      </c>
      <c r="I357" s="4">
        <v>1000.0</v>
      </c>
      <c r="J357" s="3" t="s">
        <v>35</v>
      </c>
      <c r="K357" s="16">
        <v>121.35</v>
      </c>
      <c r="L357" s="16"/>
    </row>
    <row r="358" ht="15.75" customHeight="1">
      <c r="A358" s="17" t="s">
        <v>16</v>
      </c>
      <c r="C358" s="4" t="s">
        <v>745</v>
      </c>
      <c r="D358" s="4" t="s">
        <v>746</v>
      </c>
      <c r="E358" s="4"/>
      <c r="F358" s="18" t="str">
        <f t="shared" si="22"/>
        <v>FOOD</v>
      </c>
      <c r="G358" s="18" t="s">
        <v>19</v>
      </c>
      <c r="H358" s="4" t="str">
        <f t="shared" si="3"/>
        <v>1000/KG</v>
      </c>
      <c r="I358" s="4">
        <v>1000.0</v>
      </c>
      <c r="J358" s="3" t="s">
        <v>35</v>
      </c>
      <c r="K358" s="16">
        <v>116.51</v>
      </c>
      <c r="L358" s="16"/>
    </row>
    <row r="359" ht="15.75" customHeight="1">
      <c r="A359" s="17" t="s">
        <v>16</v>
      </c>
      <c r="C359" s="20" t="s">
        <v>747</v>
      </c>
      <c r="D359" s="4" t="s">
        <v>748</v>
      </c>
      <c r="E359" s="4"/>
      <c r="F359" s="18" t="str">
        <f t="shared" si="22"/>
        <v>FOOD</v>
      </c>
      <c r="G359" s="18" t="s">
        <v>19</v>
      </c>
      <c r="H359" s="4" t="str">
        <f t="shared" si="3"/>
        <v>1000/KG</v>
      </c>
      <c r="I359" s="18">
        <v>1000.0</v>
      </c>
      <c r="J359" s="3" t="s">
        <v>35</v>
      </c>
      <c r="K359" s="16">
        <v>154.12</v>
      </c>
      <c r="L359" s="16"/>
    </row>
    <row r="360" ht="15.75" customHeight="1">
      <c r="A360" s="17" t="s">
        <v>16</v>
      </c>
      <c r="C360" s="4" t="s">
        <v>749</v>
      </c>
      <c r="D360" s="4" t="s">
        <v>750</v>
      </c>
      <c r="E360" s="4"/>
      <c r="F360" s="18" t="str">
        <f t="shared" si="22"/>
        <v>FOOD</v>
      </c>
      <c r="G360" s="18" t="s">
        <v>19</v>
      </c>
      <c r="H360" s="4" t="str">
        <f t="shared" si="3"/>
        <v>1000/KG</v>
      </c>
      <c r="I360" s="4">
        <v>1000.0</v>
      </c>
      <c r="J360" s="3" t="s">
        <v>35</v>
      </c>
      <c r="K360" s="16">
        <v>142.44</v>
      </c>
      <c r="L360" s="16"/>
    </row>
    <row r="361" ht="15.75" customHeight="1">
      <c r="A361" s="17" t="s">
        <v>16</v>
      </c>
      <c r="C361" s="4" t="s">
        <v>751</v>
      </c>
      <c r="D361" s="18" t="s">
        <v>752</v>
      </c>
      <c r="E361" s="4"/>
      <c r="F361" s="18" t="str">
        <f t="shared" si="22"/>
        <v>FOOD</v>
      </c>
      <c r="G361" s="18" t="s">
        <v>19</v>
      </c>
      <c r="H361" s="4" t="str">
        <f t="shared" si="3"/>
        <v>1000/KG</v>
      </c>
      <c r="I361" s="4">
        <v>1000.0</v>
      </c>
      <c r="J361" s="3" t="s">
        <v>35</v>
      </c>
      <c r="K361" s="16">
        <v>121.87</v>
      </c>
      <c r="L361" s="16"/>
    </row>
    <row r="362" ht="15.75" customHeight="1">
      <c r="A362" s="17" t="s">
        <v>16</v>
      </c>
      <c r="C362" s="4" t="s">
        <v>753</v>
      </c>
      <c r="D362" s="4" t="s">
        <v>754</v>
      </c>
      <c r="E362" s="4"/>
      <c r="F362" s="18" t="str">
        <f t="shared" si="22"/>
        <v>FOOD</v>
      </c>
      <c r="G362" s="18" t="s">
        <v>19</v>
      </c>
      <c r="H362" s="4" t="str">
        <f t="shared" si="3"/>
        <v>1000/KG</v>
      </c>
      <c r="I362" s="4">
        <v>1000.0</v>
      </c>
      <c r="J362" s="3" t="s">
        <v>35</v>
      </c>
      <c r="K362" s="16">
        <v>156.16</v>
      </c>
      <c r="L362" s="16"/>
    </row>
    <row r="363" ht="15.75" customHeight="1">
      <c r="A363" s="17" t="s">
        <v>16</v>
      </c>
      <c r="C363" s="21" t="s">
        <v>755</v>
      </c>
      <c r="D363" s="21" t="s">
        <v>756</v>
      </c>
      <c r="E363" s="4"/>
      <c r="F363" s="18" t="s">
        <v>40</v>
      </c>
      <c r="G363" s="18" t="s">
        <v>41</v>
      </c>
      <c r="H363" s="4" t="str">
        <f t="shared" si="3"/>
        <v>1/PC</v>
      </c>
      <c r="I363" s="4">
        <v>1.0</v>
      </c>
      <c r="J363" s="3" t="s">
        <v>42</v>
      </c>
      <c r="K363" s="16">
        <v>1.08</v>
      </c>
      <c r="L363" s="16"/>
    </row>
    <row r="364" ht="15.75" customHeight="1">
      <c r="A364" s="17" t="s">
        <v>16</v>
      </c>
      <c r="C364" s="4" t="s">
        <v>757</v>
      </c>
      <c r="D364" s="4" t="s">
        <v>758</v>
      </c>
      <c r="E364" s="4"/>
      <c r="F364" s="18" t="str">
        <f t="shared" ref="F364:F375" si="23">G364</f>
        <v>FOOD</v>
      </c>
      <c r="G364" s="18" t="s">
        <v>19</v>
      </c>
      <c r="H364" s="4" t="str">
        <f t="shared" si="3"/>
        <v>300/PACK</v>
      </c>
      <c r="I364" s="4">
        <v>300.0</v>
      </c>
      <c r="J364" s="3" t="s">
        <v>23</v>
      </c>
      <c r="K364" s="16">
        <v>55.300000000000004</v>
      </c>
      <c r="L364" s="16"/>
    </row>
    <row r="365" ht="15.75" customHeight="1">
      <c r="A365" s="17" t="s">
        <v>16</v>
      </c>
      <c r="C365" s="4" t="s">
        <v>759</v>
      </c>
      <c r="D365" s="18" t="s">
        <v>760</v>
      </c>
      <c r="E365" s="4"/>
      <c r="F365" s="18" t="str">
        <f t="shared" si="23"/>
        <v>FOOD</v>
      </c>
      <c r="G365" s="18" t="s">
        <v>19</v>
      </c>
      <c r="H365" s="4" t="str">
        <f t="shared" si="3"/>
        <v>1000/KG</v>
      </c>
      <c r="I365" s="4">
        <v>1000.0</v>
      </c>
      <c r="J365" s="3" t="s">
        <v>35</v>
      </c>
      <c r="K365" s="16">
        <v>522.98</v>
      </c>
      <c r="L365" s="16"/>
    </row>
    <row r="366" ht="15.75" customHeight="1">
      <c r="A366" s="17" t="s">
        <v>16</v>
      </c>
      <c r="C366" s="4" t="s">
        <v>761</v>
      </c>
      <c r="D366" s="4" t="s">
        <v>762</v>
      </c>
      <c r="E366" s="4"/>
      <c r="F366" s="18" t="str">
        <f t="shared" si="23"/>
        <v>FOOD</v>
      </c>
      <c r="G366" s="18" t="s">
        <v>19</v>
      </c>
      <c r="H366" s="4" t="str">
        <f t="shared" si="3"/>
        <v>1000/KG</v>
      </c>
      <c r="I366" s="4">
        <v>1000.0</v>
      </c>
      <c r="J366" s="3" t="s">
        <v>35</v>
      </c>
      <c r="K366" s="16">
        <v>1125.0</v>
      </c>
      <c r="L366" s="16"/>
    </row>
    <row r="367" ht="15.75" customHeight="1">
      <c r="A367" s="17" t="s">
        <v>16</v>
      </c>
      <c r="C367" s="20" t="s">
        <v>763</v>
      </c>
      <c r="D367" s="4" t="s">
        <v>764</v>
      </c>
      <c r="E367" s="4"/>
      <c r="F367" s="18" t="str">
        <f t="shared" si="23"/>
        <v>FOOD</v>
      </c>
      <c r="G367" s="18" t="s">
        <v>19</v>
      </c>
      <c r="H367" s="4" t="str">
        <f t="shared" si="3"/>
        <v>1/PC</v>
      </c>
      <c r="I367" s="4">
        <v>1.0</v>
      </c>
      <c r="J367" s="3" t="s">
        <v>42</v>
      </c>
      <c r="K367" s="16">
        <v>61.2</v>
      </c>
      <c r="L367" s="16"/>
    </row>
    <row r="368" ht="15.75" customHeight="1">
      <c r="A368" s="17" t="s">
        <v>16</v>
      </c>
      <c r="C368" s="4" t="s">
        <v>765</v>
      </c>
      <c r="D368" s="4" t="s">
        <v>766</v>
      </c>
      <c r="E368" s="4"/>
      <c r="F368" s="18" t="str">
        <f t="shared" si="23"/>
        <v>FOOD</v>
      </c>
      <c r="G368" s="18" t="s">
        <v>19</v>
      </c>
      <c r="H368" s="4" t="str">
        <f t="shared" si="3"/>
        <v>1000/KG</v>
      </c>
      <c r="I368" s="4">
        <v>1000.0</v>
      </c>
      <c r="J368" s="3" t="s">
        <v>35</v>
      </c>
      <c r="K368" s="16">
        <v>1146.95</v>
      </c>
      <c r="L368" s="16"/>
    </row>
    <row r="369" ht="15.75" customHeight="1">
      <c r="A369" s="17" t="s">
        <v>16</v>
      </c>
      <c r="C369" s="4" t="s">
        <v>767</v>
      </c>
      <c r="D369" s="4" t="s">
        <v>768</v>
      </c>
      <c r="E369" s="4"/>
      <c r="F369" s="18" t="str">
        <f t="shared" si="23"/>
        <v>FOOD</v>
      </c>
      <c r="G369" s="18" t="s">
        <v>19</v>
      </c>
      <c r="H369" s="4" t="str">
        <f t="shared" si="3"/>
        <v>1000/KG</v>
      </c>
      <c r="I369" s="4">
        <v>1000.0</v>
      </c>
      <c r="J369" s="3" t="s">
        <v>35</v>
      </c>
      <c r="K369" s="16">
        <v>1113.7</v>
      </c>
      <c r="L369" s="16"/>
    </row>
    <row r="370" ht="15.75" customHeight="1">
      <c r="A370" s="17" t="s">
        <v>16</v>
      </c>
      <c r="C370" s="4" t="s">
        <v>769</v>
      </c>
      <c r="D370" s="4" t="s">
        <v>770</v>
      </c>
      <c r="E370" s="4"/>
      <c r="F370" s="18" t="str">
        <f t="shared" si="23"/>
        <v>FOOD</v>
      </c>
      <c r="G370" s="18" t="s">
        <v>19</v>
      </c>
      <c r="H370" s="4" t="str">
        <f t="shared" si="3"/>
        <v>1000/KG</v>
      </c>
      <c r="I370" s="4">
        <v>1000.0</v>
      </c>
      <c r="J370" s="3" t="s">
        <v>35</v>
      </c>
      <c r="K370" s="16">
        <v>1287.83</v>
      </c>
      <c r="L370" s="16"/>
    </row>
    <row r="371" ht="15.75" customHeight="1">
      <c r="A371" s="17" t="s">
        <v>16</v>
      </c>
      <c r="C371" s="4" t="s">
        <v>771</v>
      </c>
      <c r="D371" s="4" t="s">
        <v>772</v>
      </c>
      <c r="E371" s="4"/>
      <c r="F371" s="18" t="str">
        <f t="shared" si="23"/>
        <v>FOOD</v>
      </c>
      <c r="G371" s="18" t="s">
        <v>19</v>
      </c>
      <c r="H371" s="4" t="str">
        <f t="shared" si="3"/>
        <v>1000/KG</v>
      </c>
      <c r="I371" s="4">
        <v>1000.0</v>
      </c>
      <c r="J371" s="3" t="s">
        <v>35</v>
      </c>
      <c r="K371" s="16">
        <v>497.82</v>
      </c>
      <c r="L371" s="16"/>
    </row>
    <row r="372" ht="15.75" customHeight="1">
      <c r="A372" s="17" t="s">
        <v>16</v>
      </c>
      <c r="C372" s="20" t="s">
        <v>773</v>
      </c>
      <c r="D372" s="4" t="s">
        <v>774</v>
      </c>
      <c r="E372" s="4"/>
      <c r="F372" s="18" t="str">
        <f t="shared" si="23"/>
        <v>FOOD</v>
      </c>
      <c r="G372" s="18" t="s">
        <v>19</v>
      </c>
      <c r="H372" s="4" t="str">
        <f t="shared" si="3"/>
        <v>4/PACK</v>
      </c>
      <c r="I372" s="18">
        <v>4.0</v>
      </c>
      <c r="J372" s="3" t="s">
        <v>23</v>
      </c>
      <c r="K372" s="16">
        <v>189.5</v>
      </c>
      <c r="L372" s="16"/>
    </row>
    <row r="373" ht="15.75" customHeight="1">
      <c r="A373" s="17" t="s">
        <v>16</v>
      </c>
      <c r="C373" s="20" t="s">
        <v>775</v>
      </c>
      <c r="D373" s="4" t="s">
        <v>776</v>
      </c>
      <c r="E373" s="4"/>
      <c r="F373" s="18" t="str">
        <f t="shared" si="23"/>
        <v>FOOD</v>
      </c>
      <c r="G373" s="18" t="s">
        <v>19</v>
      </c>
      <c r="H373" s="4" t="str">
        <f t="shared" si="3"/>
        <v>1/PACK</v>
      </c>
      <c r="I373" s="18">
        <v>1.0</v>
      </c>
      <c r="J373" s="3" t="s">
        <v>23</v>
      </c>
      <c r="K373" s="16">
        <v>863.6</v>
      </c>
      <c r="L373" s="16"/>
    </row>
    <row r="374" ht="15.75" customHeight="1">
      <c r="A374" s="17" t="s">
        <v>16</v>
      </c>
      <c r="C374" s="4" t="s">
        <v>777</v>
      </c>
      <c r="D374" s="4" t="s">
        <v>778</v>
      </c>
      <c r="E374" s="4"/>
      <c r="F374" s="18" t="str">
        <f t="shared" si="23"/>
        <v>FOOD</v>
      </c>
      <c r="G374" s="18" t="s">
        <v>19</v>
      </c>
      <c r="H374" s="4" t="str">
        <f t="shared" si="3"/>
        <v>405/PC</v>
      </c>
      <c r="I374" s="4">
        <v>405.0</v>
      </c>
      <c r="J374" s="3" t="s">
        <v>42</v>
      </c>
      <c r="K374" s="16">
        <v>251.97</v>
      </c>
      <c r="L374" s="16"/>
    </row>
    <row r="375" ht="15.75" customHeight="1">
      <c r="A375" s="17" t="s">
        <v>16</v>
      </c>
      <c r="C375" s="4" t="s">
        <v>779</v>
      </c>
      <c r="D375" s="4" t="s">
        <v>780</v>
      </c>
      <c r="E375" s="4"/>
      <c r="F375" s="18" t="str">
        <f t="shared" si="23"/>
        <v>FOOD</v>
      </c>
      <c r="G375" s="18" t="s">
        <v>19</v>
      </c>
      <c r="H375" s="4" t="str">
        <f t="shared" si="3"/>
        <v>5/PACK</v>
      </c>
      <c r="I375" s="4">
        <v>5.0</v>
      </c>
      <c r="J375" s="3" t="s">
        <v>23</v>
      </c>
      <c r="K375" s="16">
        <v>700.0</v>
      </c>
      <c r="L375" s="16"/>
    </row>
    <row r="376" ht="15.75" customHeight="1">
      <c r="A376" s="17" t="s">
        <v>16</v>
      </c>
      <c r="C376" s="4" t="s">
        <v>781</v>
      </c>
      <c r="D376" s="4" t="s">
        <v>782</v>
      </c>
      <c r="E376" s="4"/>
      <c r="F376" s="18" t="s">
        <v>40</v>
      </c>
      <c r="G376" s="18" t="s">
        <v>41</v>
      </c>
      <c r="H376" s="4" t="str">
        <f t="shared" si="3"/>
        <v>50/PACK</v>
      </c>
      <c r="I376" s="28">
        <v>50.0</v>
      </c>
      <c r="J376" s="29" t="s">
        <v>23</v>
      </c>
      <c r="K376" s="16">
        <v>585.0</v>
      </c>
      <c r="L376" s="16"/>
    </row>
    <row r="377" ht="15.75" customHeight="1">
      <c r="A377" s="17" t="s">
        <v>16</v>
      </c>
      <c r="C377" s="4" t="s">
        <v>783</v>
      </c>
      <c r="D377" s="4" t="s">
        <v>784</v>
      </c>
      <c r="E377" s="4"/>
      <c r="F377" s="18" t="s">
        <v>40</v>
      </c>
      <c r="G377" s="18" t="s">
        <v>41</v>
      </c>
      <c r="H377" s="4" t="str">
        <f t="shared" si="3"/>
        <v>1/PC</v>
      </c>
      <c r="I377" s="4">
        <v>1.0</v>
      </c>
      <c r="J377" s="3" t="s">
        <v>42</v>
      </c>
      <c r="K377" s="16">
        <v>1.6</v>
      </c>
      <c r="L377" s="16"/>
    </row>
    <row r="378" ht="15.75" customHeight="1">
      <c r="A378" s="17" t="s">
        <v>16</v>
      </c>
      <c r="C378" s="20" t="s">
        <v>785</v>
      </c>
      <c r="D378" s="4" t="s">
        <v>786</v>
      </c>
      <c r="E378" s="4"/>
      <c r="F378" s="18" t="s">
        <v>40</v>
      </c>
      <c r="G378" s="18" t="s">
        <v>41</v>
      </c>
      <c r="H378" s="4" t="str">
        <f t="shared" si="3"/>
        <v>1/PC</v>
      </c>
      <c r="I378" s="18">
        <v>1.0</v>
      </c>
      <c r="J378" s="3" t="s">
        <v>42</v>
      </c>
      <c r="K378" s="16">
        <v>8.04</v>
      </c>
      <c r="L378" s="16"/>
    </row>
    <row r="379" ht="15.75" customHeight="1">
      <c r="A379" s="17" t="s">
        <v>16</v>
      </c>
      <c r="C379" s="20" t="s">
        <v>787</v>
      </c>
      <c r="D379" s="3" t="s">
        <v>788</v>
      </c>
      <c r="E379" s="4"/>
      <c r="F379" s="18" t="s">
        <v>40</v>
      </c>
      <c r="G379" s="18" t="s">
        <v>41</v>
      </c>
      <c r="H379" s="4" t="str">
        <f t="shared" si="3"/>
        <v>100/PACK</v>
      </c>
      <c r="I379" s="4">
        <v>100.0</v>
      </c>
      <c r="J379" s="19" t="s">
        <v>23</v>
      </c>
      <c r="K379" s="16">
        <f>0.47*100</f>
        <v>47</v>
      </c>
      <c r="L379" s="16"/>
    </row>
    <row r="380" ht="15.75" customHeight="1">
      <c r="A380" s="17" t="s">
        <v>16</v>
      </c>
      <c r="C380" s="4" t="s">
        <v>789</v>
      </c>
      <c r="D380" s="4" t="s">
        <v>790</v>
      </c>
      <c r="E380" s="4"/>
      <c r="F380" s="18" t="s">
        <v>40</v>
      </c>
      <c r="G380" s="18" t="s">
        <v>41</v>
      </c>
      <c r="H380" s="4" t="str">
        <f t="shared" si="3"/>
        <v>1/PC</v>
      </c>
      <c r="I380" s="4">
        <v>1.0</v>
      </c>
      <c r="J380" s="3" t="s">
        <v>42</v>
      </c>
      <c r="K380" s="16">
        <v>0.75</v>
      </c>
      <c r="L380" s="16"/>
    </row>
    <row r="381" ht="15.75" customHeight="1">
      <c r="A381" s="17" t="s">
        <v>16</v>
      </c>
      <c r="C381" s="4" t="s">
        <v>791</v>
      </c>
      <c r="D381" s="4" t="s">
        <v>792</v>
      </c>
      <c r="E381" s="4"/>
      <c r="F381" s="18" t="s">
        <v>40</v>
      </c>
      <c r="G381" s="18" t="s">
        <v>41</v>
      </c>
      <c r="H381" s="4" t="str">
        <f t="shared" si="3"/>
        <v>1/PC</v>
      </c>
      <c r="I381" s="4">
        <v>1.0</v>
      </c>
      <c r="J381" s="3" t="s">
        <v>42</v>
      </c>
      <c r="K381" s="16">
        <v>1.21</v>
      </c>
      <c r="L381" s="16"/>
    </row>
    <row r="382" ht="15.75" customHeight="1">
      <c r="A382" s="17" t="s">
        <v>16</v>
      </c>
      <c r="C382" s="4" t="s">
        <v>793</v>
      </c>
      <c r="D382" s="4" t="s">
        <v>794</v>
      </c>
      <c r="E382" s="4"/>
      <c r="F382" s="18" t="str">
        <f t="shared" ref="F382:F385" si="24">G382</f>
        <v>FOOD</v>
      </c>
      <c r="G382" s="18" t="s">
        <v>19</v>
      </c>
      <c r="H382" s="4" t="str">
        <f t="shared" si="3"/>
        <v>1/PACK</v>
      </c>
      <c r="I382" s="4">
        <v>1.0</v>
      </c>
      <c r="J382" s="3" t="s">
        <v>23</v>
      </c>
      <c r="K382" s="16">
        <v>197.65</v>
      </c>
      <c r="L382" s="16"/>
    </row>
    <row r="383" ht="15.75" customHeight="1">
      <c r="A383" s="17" t="s">
        <v>16</v>
      </c>
      <c r="C383" s="4" t="s">
        <v>795</v>
      </c>
      <c r="D383" s="4" t="s">
        <v>796</v>
      </c>
      <c r="E383" s="4"/>
      <c r="F383" s="18" t="str">
        <f t="shared" si="24"/>
        <v>FOOD</v>
      </c>
      <c r="G383" s="18" t="s">
        <v>19</v>
      </c>
      <c r="H383" s="4" t="str">
        <f t="shared" si="3"/>
        <v>1/PACK</v>
      </c>
      <c r="I383" s="4">
        <v>1.0</v>
      </c>
      <c r="J383" s="3" t="s">
        <v>23</v>
      </c>
      <c r="K383" s="16">
        <v>261.11</v>
      </c>
      <c r="L383" s="16"/>
    </row>
    <row r="384" ht="15.75" customHeight="1">
      <c r="A384" s="17" t="s">
        <v>16</v>
      </c>
      <c r="C384" s="4" t="s">
        <v>797</v>
      </c>
      <c r="D384" s="4" t="s">
        <v>798</v>
      </c>
      <c r="E384" s="4"/>
      <c r="F384" s="18" t="str">
        <f t="shared" si="24"/>
        <v>FOOD</v>
      </c>
      <c r="G384" s="18" t="s">
        <v>19</v>
      </c>
      <c r="H384" s="4" t="str">
        <f t="shared" si="3"/>
        <v>1/PACK</v>
      </c>
      <c r="I384" s="4">
        <v>1.0</v>
      </c>
      <c r="J384" s="3" t="s">
        <v>23</v>
      </c>
      <c r="K384" s="16">
        <v>208.17</v>
      </c>
      <c r="L384" s="16"/>
    </row>
    <row r="385" ht="15.75" customHeight="1">
      <c r="A385" s="17" t="s">
        <v>16</v>
      </c>
      <c r="C385" s="20" t="s">
        <v>799</v>
      </c>
      <c r="D385" s="21" t="s">
        <v>800</v>
      </c>
      <c r="E385" s="4"/>
      <c r="F385" s="18" t="str">
        <f t="shared" si="24"/>
        <v>FOOD</v>
      </c>
      <c r="G385" s="18" t="s">
        <v>19</v>
      </c>
      <c r="H385" s="4" t="str">
        <f t="shared" si="3"/>
        <v>1/PACK</v>
      </c>
      <c r="I385" s="4">
        <v>1.0</v>
      </c>
      <c r="J385" s="3" t="s">
        <v>23</v>
      </c>
      <c r="K385" s="16">
        <v>190.58823529411765</v>
      </c>
      <c r="L385" s="16"/>
    </row>
    <row r="386" ht="15.75" customHeight="1">
      <c r="A386" s="17" t="s">
        <v>16</v>
      </c>
      <c r="C386" s="4" t="s">
        <v>801</v>
      </c>
      <c r="D386" s="4" t="s">
        <v>802</v>
      </c>
      <c r="E386" s="4"/>
      <c r="F386" s="18" t="s">
        <v>40</v>
      </c>
      <c r="G386" s="18" t="s">
        <v>448</v>
      </c>
      <c r="H386" s="4" t="str">
        <f t="shared" si="3"/>
        <v>1/PC</v>
      </c>
      <c r="I386" s="4">
        <v>1.0</v>
      </c>
      <c r="J386" s="3" t="s">
        <v>42</v>
      </c>
      <c r="K386" s="16">
        <v>27.59</v>
      </c>
      <c r="L386" s="16"/>
    </row>
    <row r="387" ht="15.75" customHeight="1">
      <c r="A387" s="17" t="s">
        <v>16</v>
      </c>
      <c r="C387" s="4" t="s">
        <v>803</v>
      </c>
      <c r="D387" s="4" t="s">
        <v>804</v>
      </c>
      <c r="E387" s="4"/>
      <c r="F387" s="18" t="s">
        <v>40</v>
      </c>
      <c r="G387" s="18" t="s">
        <v>448</v>
      </c>
      <c r="H387" s="4" t="str">
        <f t="shared" si="3"/>
        <v>1/PC</v>
      </c>
      <c r="I387" s="4">
        <v>1.0</v>
      </c>
      <c r="J387" s="3" t="s">
        <v>42</v>
      </c>
      <c r="K387" s="16">
        <v>38.84</v>
      </c>
      <c r="L387" s="16"/>
    </row>
    <row r="388" ht="15.75" customHeight="1">
      <c r="A388" s="17" t="s">
        <v>16</v>
      </c>
      <c r="C388" s="20" t="s">
        <v>805</v>
      </c>
      <c r="D388" s="4" t="s">
        <v>806</v>
      </c>
      <c r="E388" s="4"/>
      <c r="F388" s="18" t="s">
        <v>40</v>
      </c>
      <c r="G388" s="18" t="s">
        <v>448</v>
      </c>
      <c r="H388" s="4" t="str">
        <f t="shared" si="3"/>
        <v>1/PC</v>
      </c>
      <c r="I388" s="4">
        <v>1.0</v>
      </c>
      <c r="J388" s="3" t="s">
        <v>42</v>
      </c>
      <c r="K388" s="16">
        <v>34.69</v>
      </c>
      <c r="L388" s="16"/>
    </row>
    <row r="389" ht="15.75" customHeight="1">
      <c r="A389" s="17" t="s">
        <v>16</v>
      </c>
      <c r="C389" s="4" t="s">
        <v>807</v>
      </c>
      <c r="D389" s="4" t="s">
        <v>808</v>
      </c>
      <c r="E389" s="4"/>
      <c r="F389" s="18" t="s">
        <v>40</v>
      </c>
      <c r="G389" s="18" t="s">
        <v>448</v>
      </c>
      <c r="H389" s="4" t="str">
        <f t="shared" si="3"/>
        <v>1/PC</v>
      </c>
      <c r="I389" s="4">
        <v>1.0</v>
      </c>
      <c r="J389" s="3" t="s">
        <v>42</v>
      </c>
      <c r="K389" s="16">
        <v>77.39</v>
      </c>
      <c r="L389" s="16"/>
    </row>
    <row r="390" ht="15.75" customHeight="1">
      <c r="A390" s="17" t="s">
        <v>16</v>
      </c>
      <c r="C390" s="20" t="s">
        <v>809</v>
      </c>
      <c r="D390" s="4" t="s">
        <v>810</v>
      </c>
      <c r="E390" s="4"/>
      <c r="F390" s="18" t="str">
        <f t="shared" ref="F390:F393" si="25">G390</f>
        <v>FOOD</v>
      </c>
      <c r="G390" s="18" t="s">
        <v>19</v>
      </c>
      <c r="H390" s="4" t="str">
        <f t="shared" si="3"/>
        <v>1000/KG</v>
      </c>
      <c r="I390" s="18">
        <v>1000.0</v>
      </c>
      <c r="J390" s="3" t="s">
        <v>35</v>
      </c>
      <c r="K390" s="16">
        <v>136.72</v>
      </c>
      <c r="L390" s="16"/>
    </row>
    <row r="391" ht="15.75" customHeight="1">
      <c r="A391" s="17" t="s">
        <v>16</v>
      </c>
      <c r="C391" s="4" t="s">
        <v>811</v>
      </c>
      <c r="D391" s="4" t="s">
        <v>812</v>
      </c>
      <c r="E391" s="4"/>
      <c r="F391" s="18" t="str">
        <f t="shared" si="25"/>
        <v>FOOD</v>
      </c>
      <c r="G391" s="18" t="s">
        <v>19</v>
      </c>
      <c r="H391" s="4" t="str">
        <f t="shared" si="3"/>
        <v>1000/KG</v>
      </c>
      <c r="I391" s="4">
        <v>1000.0</v>
      </c>
      <c r="J391" s="3" t="s">
        <v>35</v>
      </c>
      <c r="K391" s="16">
        <v>225.0</v>
      </c>
      <c r="L391" s="16"/>
    </row>
    <row r="392" ht="15.75" customHeight="1">
      <c r="A392" s="17" t="s">
        <v>16</v>
      </c>
      <c r="C392" s="4" t="s">
        <v>813</v>
      </c>
      <c r="D392" s="4" t="s">
        <v>814</v>
      </c>
      <c r="E392" s="4"/>
      <c r="F392" s="18" t="str">
        <f t="shared" si="25"/>
        <v>FOOD</v>
      </c>
      <c r="G392" s="18" t="s">
        <v>19</v>
      </c>
      <c r="H392" s="4" t="str">
        <f t="shared" si="3"/>
        <v>1000/KG</v>
      </c>
      <c r="I392" s="4">
        <v>1000.0</v>
      </c>
      <c r="J392" s="3" t="s">
        <v>35</v>
      </c>
      <c r="K392" s="16">
        <v>648.41</v>
      </c>
      <c r="L392" s="16"/>
    </row>
    <row r="393" ht="15.75" customHeight="1">
      <c r="A393" s="17" t="s">
        <v>16</v>
      </c>
      <c r="C393" s="20" t="s">
        <v>815</v>
      </c>
      <c r="D393" s="4" t="s">
        <v>816</v>
      </c>
      <c r="E393" s="4"/>
      <c r="F393" s="18" t="str">
        <f t="shared" si="25"/>
        <v>FOOD</v>
      </c>
      <c r="G393" s="18" t="s">
        <v>19</v>
      </c>
      <c r="H393" s="4" t="str">
        <f t="shared" si="3"/>
        <v>1000/LIT</v>
      </c>
      <c r="I393" s="4">
        <v>1000.0</v>
      </c>
      <c r="J393" s="3" t="s">
        <v>20</v>
      </c>
      <c r="K393" s="16">
        <v>251.12</v>
      </c>
      <c r="L393" s="16"/>
    </row>
    <row r="394" ht="15.75" customHeight="1">
      <c r="A394" s="17" t="s">
        <v>16</v>
      </c>
      <c r="C394" s="4" t="s">
        <v>817</v>
      </c>
      <c r="D394" s="4" t="s">
        <v>818</v>
      </c>
      <c r="E394" s="4"/>
      <c r="F394" s="18" t="s">
        <v>40</v>
      </c>
      <c r="G394" s="18" t="s">
        <v>41</v>
      </c>
      <c r="H394" s="4" t="str">
        <f t="shared" si="3"/>
        <v>50/PC</v>
      </c>
      <c r="I394" s="4">
        <v>50.0</v>
      </c>
      <c r="J394" s="3" t="s">
        <v>42</v>
      </c>
      <c r="K394" s="16">
        <f>3.29*50</f>
        <v>164.5</v>
      </c>
      <c r="L394" s="16"/>
    </row>
    <row r="395" ht="15.75" customHeight="1">
      <c r="A395" s="17" t="s">
        <v>16</v>
      </c>
      <c r="C395" s="20" t="s">
        <v>817</v>
      </c>
      <c r="D395" s="3" t="s">
        <v>819</v>
      </c>
      <c r="E395" s="4"/>
      <c r="F395" s="18" t="s">
        <v>40</v>
      </c>
      <c r="G395" s="18" t="s">
        <v>41</v>
      </c>
      <c r="H395" s="4" t="str">
        <f t="shared" si="3"/>
        <v>50/PC(50)</v>
      </c>
      <c r="I395" s="4">
        <v>50.0</v>
      </c>
      <c r="J395" s="3" t="s">
        <v>195</v>
      </c>
      <c r="K395" s="16">
        <v>146.25</v>
      </c>
      <c r="L395" s="16"/>
    </row>
    <row r="396" ht="15.75" customHeight="1">
      <c r="A396" s="17" t="s">
        <v>16</v>
      </c>
      <c r="C396" s="20" t="s">
        <v>820</v>
      </c>
      <c r="D396" s="3" t="s">
        <v>821</v>
      </c>
      <c r="E396" s="4"/>
      <c r="F396" s="18" t="s">
        <v>40</v>
      </c>
      <c r="G396" s="18" t="s">
        <v>41</v>
      </c>
      <c r="H396" s="4" t="str">
        <f t="shared" si="3"/>
        <v>50/PC</v>
      </c>
      <c r="I396" s="4">
        <v>50.0</v>
      </c>
      <c r="J396" s="19" t="s">
        <v>42</v>
      </c>
      <c r="K396" s="16">
        <v>215.63</v>
      </c>
      <c r="L396" s="16"/>
    </row>
    <row r="397" ht="15.75" customHeight="1">
      <c r="A397" s="17" t="s">
        <v>16</v>
      </c>
      <c r="C397" s="20" t="s">
        <v>822</v>
      </c>
      <c r="D397" s="4" t="s">
        <v>823</v>
      </c>
      <c r="E397" s="4"/>
      <c r="F397" s="18" t="s">
        <v>40</v>
      </c>
      <c r="G397" s="18" t="s">
        <v>41</v>
      </c>
      <c r="H397" s="4" t="str">
        <f t="shared" si="3"/>
        <v>50/PC</v>
      </c>
      <c r="I397" s="25">
        <v>50.0</v>
      </c>
      <c r="J397" s="3" t="s">
        <v>42</v>
      </c>
      <c r="K397" s="16">
        <v>200.0</v>
      </c>
      <c r="L397" s="16"/>
    </row>
    <row r="398" ht="15.75" customHeight="1">
      <c r="A398" s="17" t="s">
        <v>16</v>
      </c>
      <c r="C398" s="4" t="s">
        <v>824</v>
      </c>
      <c r="D398" s="4" t="s">
        <v>825</v>
      </c>
      <c r="E398" s="4"/>
      <c r="F398" s="18" t="s">
        <v>40</v>
      </c>
      <c r="G398" s="18" t="s">
        <v>41</v>
      </c>
      <c r="H398" s="4" t="str">
        <f t="shared" si="3"/>
        <v>50/PC</v>
      </c>
      <c r="I398" s="4">
        <v>50.0</v>
      </c>
      <c r="J398" s="3" t="s">
        <v>42</v>
      </c>
      <c r="K398" s="16">
        <f>2.63*50</f>
        <v>131.5</v>
      </c>
      <c r="L398" s="16"/>
    </row>
    <row r="399" ht="15.75" customHeight="1">
      <c r="A399" s="17" t="s">
        <v>16</v>
      </c>
      <c r="C399" s="4" t="s">
        <v>826</v>
      </c>
      <c r="D399" s="4" t="s">
        <v>827</v>
      </c>
      <c r="E399" s="4"/>
      <c r="F399" s="18" t="str">
        <f t="shared" ref="F399:F413" si="26">G399</f>
        <v>FOOD</v>
      </c>
      <c r="G399" s="18" t="s">
        <v>19</v>
      </c>
      <c r="H399" s="4" t="str">
        <f t="shared" si="3"/>
        <v>1000/KG</v>
      </c>
      <c r="I399" s="4">
        <v>1000.0</v>
      </c>
      <c r="J399" s="3" t="s">
        <v>35</v>
      </c>
      <c r="K399" s="16">
        <v>83.13</v>
      </c>
      <c r="L399" s="16"/>
    </row>
    <row r="400" ht="15.75" customHeight="1">
      <c r="A400" s="17" t="s">
        <v>16</v>
      </c>
      <c r="C400" s="4" t="s">
        <v>828</v>
      </c>
      <c r="D400" s="4" t="s">
        <v>829</v>
      </c>
      <c r="E400" s="4"/>
      <c r="F400" s="18" t="str">
        <f t="shared" si="26"/>
        <v>FOOD</v>
      </c>
      <c r="G400" s="18" t="s">
        <v>19</v>
      </c>
      <c r="H400" s="4" t="str">
        <f t="shared" si="3"/>
        <v>1000/KG</v>
      </c>
      <c r="I400" s="4">
        <v>1000.0</v>
      </c>
      <c r="J400" s="3" t="s">
        <v>35</v>
      </c>
      <c r="K400" s="16">
        <v>39.38</v>
      </c>
      <c r="L400" s="16"/>
    </row>
    <row r="401" ht="15.75" customHeight="1">
      <c r="A401" s="17" t="s">
        <v>16</v>
      </c>
      <c r="C401" s="4" t="s">
        <v>830</v>
      </c>
      <c r="D401" s="4" t="s">
        <v>831</v>
      </c>
      <c r="E401" s="4"/>
      <c r="F401" s="18" t="str">
        <f t="shared" si="26"/>
        <v>FOOD</v>
      </c>
      <c r="G401" s="18" t="s">
        <v>19</v>
      </c>
      <c r="H401" s="4" t="str">
        <f t="shared" si="3"/>
        <v>1000/KG</v>
      </c>
      <c r="I401" s="4">
        <v>1000.0</v>
      </c>
      <c r="J401" s="3" t="s">
        <v>35</v>
      </c>
      <c r="K401" s="16">
        <v>56.7</v>
      </c>
      <c r="L401" s="16"/>
    </row>
    <row r="402" ht="15.75" customHeight="1">
      <c r="A402" s="17" t="s">
        <v>16</v>
      </c>
      <c r="C402" s="20" t="s">
        <v>832</v>
      </c>
      <c r="D402" s="4" t="s">
        <v>833</v>
      </c>
      <c r="E402" s="4"/>
      <c r="F402" s="18" t="str">
        <f t="shared" si="26"/>
        <v>FOOD</v>
      </c>
      <c r="G402" s="18" t="s">
        <v>19</v>
      </c>
      <c r="H402" s="4" t="str">
        <f t="shared" si="3"/>
        <v>1000/KG</v>
      </c>
      <c r="I402" s="18">
        <v>1000.0</v>
      </c>
      <c r="J402" s="3" t="s">
        <v>35</v>
      </c>
      <c r="K402" s="16">
        <v>350.72</v>
      </c>
      <c r="L402" s="16"/>
    </row>
    <row r="403" ht="15.75" customHeight="1">
      <c r="A403" s="17" t="s">
        <v>16</v>
      </c>
      <c r="C403" s="4" t="s">
        <v>834</v>
      </c>
      <c r="D403" s="4" t="s">
        <v>835</v>
      </c>
      <c r="E403" s="4"/>
      <c r="F403" s="18" t="str">
        <f t="shared" si="26"/>
        <v>FOOD</v>
      </c>
      <c r="G403" s="18" t="s">
        <v>19</v>
      </c>
      <c r="H403" s="4" t="str">
        <f t="shared" si="3"/>
        <v>1000/KG</v>
      </c>
      <c r="I403" s="4">
        <v>1000.0</v>
      </c>
      <c r="J403" s="3" t="s">
        <v>35</v>
      </c>
      <c r="K403" s="16">
        <v>748.3000000000001</v>
      </c>
      <c r="L403" s="16"/>
    </row>
    <row r="404" ht="15.75" customHeight="1">
      <c r="A404" s="17" t="s">
        <v>16</v>
      </c>
      <c r="C404" s="20" t="s">
        <v>836</v>
      </c>
      <c r="D404" s="4" t="s">
        <v>837</v>
      </c>
      <c r="E404" s="4"/>
      <c r="F404" s="18" t="str">
        <f t="shared" si="26"/>
        <v>FOOD</v>
      </c>
      <c r="G404" s="18" t="s">
        <v>19</v>
      </c>
      <c r="H404" s="4" t="str">
        <f t="shared" si="3"/>
        <v>170/PACK</v>
      </c>
      <c r="I404" s="25">
        <v>170.0</v>
      </c>
      <c r="J404" s="19" t="s">
        <v>23</v>
      </c>
      <c r="K404" s="16">
        <v>127.1</v>
      </c>
      <c r="L404" s="16"/>
    </row>
    <row r="405" ht="15.75" customHeight="1">
      <c r="A405" s="17" t="s">
        <v>16</v>
      </c>
      <c r="C405" s="20" t="s">
        <v>838</v>
      </c>
      <c r="D405" s="4" t="s">
        <v>839</v>
      </c>
      <c r="E405" s="4"/>
      <c r="F405" s="18" t="str">
        <f t="shared" si="26"/>
        <v>FOOD</v>
      </c>
      <c r="G405" s="18" t="s">
        <v>19</v>
      </c>
      <c r="H405" s="4" t="str">
        <f t="shared" si="3"/>
        <v>300/PACK</v>
      </c>
      <c r="I405" s="25">
        <v>300.0</v>
      </c>
      <c r="J405" s="19" t="s">
        <v>23</v>
      </c>
      <c r="K405" s="16">
        <v>316.5</v>
      </c>
      <c r="L405" s="16"/>
    </row>
    <row r="406" ht="15.75" customHeight="1">
      <c r="A406" s="17" t="s">
        <v>16</v>
      </c>
      <c r="C406" s="4" t="s">
        <v>840</v>
      </c>
      <c r="D406" s="4" t="s">
        <v>841</v>
      </c>
      <c r="E406" s="4"/>
      <c r="F406" s="18" t="str">
        <f t="shared" si="26"/>
        <v>FOOD</v>
      </c>
      <c r="G406" s="18" t="s">
        <v>19</v>
      </c>
      <c r="H406" s="4" t="str">
        <f t="shared" si="3"/>
        <v>1/PACK</v>
      </c>
      <c r="I406" s="4">
        <v>1.0</v>
      </c>
      <c r="J406" s="3" t="s">
        <v>23</v>
      </c>
      <c r="K406" s="16">
        <v>38.9</v>
      </c>
      <c r="L406" s="16"/>
    </row>
    <row r="407" ht="15.75" customHeight="1">
      <c r="A407" s="17" t="s">
        <v>16</v>
      </c>
      <c r="C407" s="20" t="s">
        <v>842</v>
      </c>
      <c r="D407" s="4" t="s">
        <v>843</v>
      </c>
      <c r="E407" s="4"/>
      <c r="F407" s="18" t="str">
        <f t="shared" si="26"/>
        <v>FOOD</v>
      </c>
      <c r="G407" s="18" t="s">
        <v>19</v>
      </c>
      <c r="H407" s="4" t="str">
        <f t="shared" si="3"/>
        <v>1/Pack</v>
      </c>
      <c r="I407" s="18">
        <v>1.0</v>
      </c>
      <c r="J407" s="3" t="s">
        <v>441</v>
      </c>
      <c r="K407" s="16">
        <v>62.4</v>
      </c>
      <c r="L407" s="16"/>
    </row>
    <row r="408" ht="15.75" customHeight="1">
      <c r="A408" s="17" t="s">
        <v>16</v>
      </c>
      <c r="C408" s="20" t="s">
        <v>844</v>
      </c>
      <c r="D408" s="3" t="s">
        <v>845</v>
      </c>
      <c r="E408" s="4"/>
      <c r="F408" s="18" t="str">
        <f t="shared" si="26"/>
        <v>FOOD</v>
      </c>
      <c r="G408" s="18" t="s">
        <v>19</v>
      </c>
      <c r="H408" s="4" t="str">
        <f t="shared" si="3"/>
        <v>1000/KG</v>
      </c>
      <c r="I408" s="4">
        <v>1000.0</v>
      </c>
      <c r="J408" s="3" t="s">
        <v>35</v>
      </c>
      <c r="K408" s="16">
        <v>994.14</v>
      </c>
      <c r="L408" s="16"/>
    </row>
    <row r="409" ht="15.75" customHeight="1">
      <c r="A409" s="17" t="s">
        <v>16</v>
      </c>
      <c r="C409" s="4" t="s">
        <v>846</v>
      </c>
      <c r="D409" s="4" t="s">
        <v>847</v>
      </c>
      <c r="E409" s="4"/>
      <c r="F409" s="18" t="str">
        <f t="shared" si="26"/>
        <v>FOOD</v>
      </c>
      <c r="G409" s="18" t="s">
        <v>19</v>
      </c>
      <c r="H409" s="4" t="str">
        <f t="shared" si="3"/>
        <v>20/PACK</v>
      </c>
      <c r="I409" s="4">
        <v>20.0</v>
      </c>
      <c r="J409" s="3" t="s">
        <v>23</v>
      </c>
      <c r="K409" s="16">
        <v>148.29999999999998</v>
      </c>
      <c r="L409" s="16"/>
    </row>
    <row r="410" ht="15.75" customHeight="1">
      <c r="A410" s="17" t="s">
        <v>16</v>
      </c>
      <c r="C410" s="4" t="s">
        <v>848</v>
      </c>
      <c r="D410" s="4" t="s">
        <v>849</v>
      </c>
      <c r="E410" s="4"/>
      <c r="F410" s="18" t="str">
        <f t="shared" si="26"/>
        <v>FOOD</v>
      </c>
      <c r="G410" s="18" t="s">
        <v>19</v>
      </c>
      <c r="H410" s="4" t="str">
        <f t="shared" si="3"/>
        <v>1000/KG</v>
      </c>
      <c r="I410" s="4">
        <v>1000.0</v>
      </c>
      <c r="J410" s="3" t="s">
        <v>35</v>
      </c>
      <c r="K410" s="16">
        <v>14.89</v>
      </c>
      <c r="L410" s="16"/>
    </row>
    <row r="411" ht="15.75" customHeight="1">
      <c r="A411" s="17" t="s">
        <v>16</v>
      </c>
      <c r="C411" s="4" t="s">
        <v>850</v>
      </c>
      <c r="D411" s="4" t="s">
        <v>851</v>
      </c>
      <c r="E411" s="4"/>
      <c r="F411" s="18" t="str">
        <f t="shared" si="26"/>
        <v>FOOD</v>
      </c>
      <c r="G411" s="18" t="s">
        <v>19</v>
      </c>
      <c r="H411" s="4" t="str">
        <f t="shared" si="3"/>
        <v>1000/KG</v>
      </c>
      <c r="I411" s="4">
        <v>1000.0</v>
      </c>
      <c r="J411" s="3" t="s">
        <v>35</v>
      </c>
      <c r="K411" s="16">
        <v>172.34</v>
      </c>
      <c r="L411" s="16"/>
    </row>
    <row r="412" ht="15.75" customHeight="1">
      <c r="A412" s="17" t="s">
        <v>16</v>
      </c>
      <c r="C412" s="4" t="s">
        <v>852</v>
      </c>
      <c r="D412" s="4" t="s">
        <v>853</v>
      </c>
      <c r="E412" s="4"/>
      <c r="F412" s="18" t="str">
        <f t="shared" si="26"/>
        <v>FOOD</v>
      </c>
      <c r="G412" s="18" t="s">
        <v>19</v>
      </c>
      <c r="H412" s="4" t="str">
        <f t="shared" si="3"/>
        <v>1000/KG</v>
      </c>
      <c r="I412" s="4">
        <v>1000.0</v>
      </c>
      <c r="J412" s="3" t="s">
        <v>35</v>
      </c>
      <c r="K412" s="16">
        <v>22.5</v>
      </c>
      <c r="L412" s="16"/>
    </row>
    <row r="413" ht="15.75" customHeight="1">
      <c r="A413" s="17" t="s">
        <v>16</v>
      </c>
      <c r="C413" s="20" t="s">
        <v>854</v>
      </c>
      <c r="D413" s="4" t="s">
        <v>855</v>
      </c>
      <c r="E413" s="4"/>
      <c r="F413" s="18" t="str">
        <f t="shared" si="26"/>
        <v>FOOD</v>
      </c>
      <c r="G413" s="18" t="s">
        <v>19</v>
      </c>
      <c r="H413" s="4" t="str">
        <f t="shared" si="3"/>
        <v>6/PACK</v>
      </c>
      <c r="I413" s="18">
        <v>6.0</v>
      </c>
      <c r="J413" s="3" t="s">
        <v>23</v>
      </c>
      <c r="K413" s="16">
        <v>202.4</v>
      </c>
      <c r="L413" s="16"/>
    </row>
    <row r="414" ht="15.75" customHeight="1">
      <c r="A414" s="17" t="s">
        <v>16</v>
      </c>
      <c r="C414" s="4" t="s">
        <v>856</v>
      </c>
      <c r="D414" s="4" t="s">
        <v>857</v>
      </c>
      <c r="E414" s="4"/>
      <c r="F414" s="18" t="s">
        <v>40</v>
      </c>
      <c r="G414" s="18" t="s">
        <v>41</v>
      </c>
      <c r="H414" s="4" t="str">
        <f t="shared" si="3"/>
        <v>1/PC</v>
      </c>
      <c r="I414" s="4">
        <v>1.0</v>
      </c>
      <c r="J414" s="3" t="s">
        <v>42</v>
      </c>
      <c r="K414" s="16">
        <v>1.64</v>
      </c>
      <c r="L414" s="16"/>
    </row>
    <row r="415" ht="15.75" customHeight="1">
      <c r="A415" s="17" t="s">
        <v>16</v>
      </c>
      <c r="C415" s="20" t="s">
        <v>856</v>
      </c>
      <c r="D415" s="4" t="s">
        <v>858</v>
      </c>
      <c r="E415" s="4"/>
      <c r="F415" s="18" t="s">
        <v>40</v>
      </c>
      <c r="G415" s="18" t="s">
        <v>41</v>
      </c>
      <c r="H415" s="4" t="str">
        <f t="shared" si="3"/>
        <v>100/PACK(100)</v>
      </c>
      <c r="I415" s="18">
        <v>100.0</v>
      </c>
      <c r="J415" s="3" t="s">
        <v>445</v>
      </c>
      <c r="K415" s="16">
        <v>163.8</v>
      </c>
      <c r="L415" s="16"/>
    </row>
    <row r="416" ht="15.75" customHeight="1">
      <c r="A416" s="17" t="s">
        <v>16</v>
      </c>
      <c r="C416" s="20" t="s">
        <v>859</v>
      </c>
      <c r="D416" s="20" t="s">
        <v>860</v>
      </c>
      <c r="E416" s="4"/>
      <c r="F416" s="18" t="str">
        <f t="shared" ref="F416:F419" si="27">G416</f>
        <v>FOOD</v>
      </c>
      <c r="G416" s="18" t="s">
        <v>19</v>
      </c>
      <c r="H416" s="4" t="str">
        <f t="shared" si="3"/>
        <v>1000/KG</v>
      </c>
      <c r="I416" s="4">
        <v>1000.0</v>
      </c>
      <c r="J416" s="3" t="s">
        <v>35</v>
      </c>
      <c r="K416" s="16">
        <v>862.5</v>
      </c>
      <c r="L416" s="16"/>
    </row>
    <row r="417" ht="15.75" customHeight="1">
      <c r="A417" s="17" t="s">
        <v>16</v>
      </c>
      <c r="C417" s="20" t="s">
        <v>861</v>
      </c>
      <c r="D417" s="4" t="s">
        <v>862</v>
      </c>
      <c r="E417" s="4"/>
      <c r="F417" s="18" t="str">
        <f t="shared" si="27"/>
        <v>FOOD</v>
      </c>
      <c r="G417" s="18" t="s">
        <v>19</v>
      </c>
      <c r="H417" s="4" t="str">
        <f t="shared" si="3"/>
        <v>6/PACK</v>
      </c>
      <c r="I417" s="18">
        <v>6.0</v>
      </c>
      <c r="J417" s="3" t="s">
        <v>23</v>
      </c>
      <c r="K417" s="16">
        <v>243.0</v>
      </c>
      <c r="L417" s="16"/>
    </row>
    <row r="418" ht="15.75" customHeight="1">
      <c r="A418" s="17" t="s">
        <v>16</v>
      </c>
      <c r="C418" s="20" t="s">
        <v>863</v>
      </c>
      <c r="D418" s="21" t="s">
        <v>864</v>
      </c>
      <c r="E418" s="4"/>
      <c r="F418" s="18" t="str">
        <f t="shared" si="27"/>
        <v>BEVERAGE</v>
      </c>
      <c r="G418" s="18" t="s">
        <v>54</v>
      </c>
      <c r="H418" s="4" t="str">
        <f t="shared" si="3"/>
        <v>325/LIT</v>
      </c>
      <c r="I418" s="4">
        <v>325.0</v>
      </c>
      <c r="J418" s="3" t="s">
        <v>20</v>
      </c>
      <c r="K418" s="16">
        <v>95.87</v>
      </c>
      <c r="L418" s="16"/>
    </row>
    <row r="419" ht="15.75" customHeight="1">
      <c r="A419" s="17" t="s">
        <v>16</v>
      </c>
      <c r="C419" s="4" t="s">
        <v>865</v>
      </c>
      <c r="D419" s="4" t="s">
        <v>866</v>
      </c>
      <c r="E419" s="4"/>
      <c r="F419" s="18" t="str">
        <f t="shared" si="27"/>
        <v>FOOD</v>
      </c>
      <c r="G419" s="18" t="s">
        <v>19</v>
      </c>
      <c r="H419" s="4" t="str">
        <f t="shared" si="3"/>
        <v>1000/KG</v>
      </c>
      <c r="I419" s="4">
        <v>1000.0</v>
      </c>
      <c r="J419" s="3" t="s">
        <v>35</v>
      </c>
      <c r="K419" s="16">
        <v>229.69</v>
      </c>
      <c r="L419" s="16"/>
    </row>
    <row r="420" ht="15.75" customHeight="1">
      <c r="A420" s="17" t="s">
        <v>16</v>
      </c>
      <c r="C420" s="4" t="s">
        <v>867</v>
      </c>
      <c r="D420" s="4" t="s">
        <v>868</v>
      </c>
      <c r="E420" s="4"/>
      <c r="F420" s="18" t="s">
        <v>40</v>
      </c>
      <c r="G420" s="18" t="s">
        <v>41</v>
      </c>
      <c r="H420" s="4" t="str">
        <f t="shared" si="3"/>
        <v>1/SHEETS</v>
      </c>
      <c r="I420" s="4">
        <v>1.0</v>
      </c>
      <c r="J420" s="3" t="s">
        <v>453</v>
      </c>
      <c r="K420" s="16">
        <v>0.16</v>
      </c>
      <c r="L420" s="16"/>
    </row>
    <row r="421" ht="15.75" customHeight="1">
      <c r="A421" s="17" t="s">
        <v>16</v>
      </c>
      <c r="C421" s="4" t="s">
        <v>869</v>
      </c>
      <c r="D421" s="4" t="s">
        <v>870</v>
      </c>
      <c r="E421" s="4"/>
      <c r="F421" s="18" t="s">
        <v>40</v>
      </c>
      <c r="G421" s="18" t="s">
        <v>41</v>
      </c>
      <c r="H421" s="4" t="str">
        <f t="shared" si="3"/>
        <v>1/SHEETS</v>
      </c>
      <c r="I421" s="4">
        <v>1.0</v>
      </c>
      <c r="J421" s="3" t="s">
        <v>453</v>
      </c>
      <c r="K421" s="16">
        <v>0.15</v>
      </c>
      <c r="L421" s="16"/>
    </row>
    <row r="422" ht="15.75" customHeight="1">
      <c r="A422" s="17" t="s">
        <v>16</v>
      </c>
      <c r="C422" s="20" t="s">
        <v>871</v>
      </c>
      <c r="D422" s="21" t="s">
        <v>872</v>
      </c>
      <c r="E422" s="4"/>
      <c r="F422" s="18" t="str">
        <f t="shared" ref="F422:F429" si="28">G422</f>
        <v>MKTG</v>
      </c>
      <c r="G422" s="18" t="s">
        <v>178</v>
      </c>
      <c r="H422" s="4" t="str">
        <f t="shared" si="3"/>
        <v>1/LOT</v>
      </c>
      <c r="I422" s="4">
        <v>1.0</v>
      </c>
      <c r="J422" s="3" t="s">
        <v>873</v>
      </c>
      <c r="K422" s="16">
        <v>0.0</v>
      </c>
      <c r="L422" s="16"/>
    </row>
    <row r="423" ht="15.75" customHeight="1">
      <c r="A423" s="17" t="s">
        <v>16</v>
      </c>
      <c r="C423" s="20" t="s">
        <v>874</v>
      </c>
      <c r="D423" s="4" t="s">
        <v>875</v>
      </c>
      <c r="E423" s="4"/>
      <c r="F423" s="18" t="str">
        <f t="shared" si="28"/>
        <v>FOOD</v>
      </c>
      <c r="G423" s="18" t="s">
        <v>19</v>
      </c>
      <c r="H423" s="4" t="str">
        <f t="shared" si="3"/>
        <v>1000/KG</v>
      </c>
      <c r="I423" s="4">
        <v>1000.0</v>
      </c>
      <c r="J423" s="3" t="s">
        <v>35</v>
      </c>
      <c r="K423" s="16">
        <v>445.68</v>
      </c>
      <c r="L423" s="16"/>
    </row>
    <row r="424" ht="15.75" customHeight="1">
      <c r="A424" s="17" t="s">
        <v>16</v>
      </c>
      <c r="C424" s="4" t="s">
        <v>876</v>
      </c>
      <c r="D424" s="4" t="s">
        <v>877</v>
      </c>
      <c r="E424" s="4"/>
      <c r="F424" s="18" t="str">
        <f t="shared" si="28"/>
        <v>FOOD</v>
      </c>
      <c r="G424" s="18" t="s">
        <v>19</v>
      </c>
      <c r="H424" s="4" t="str">
        <f t="shared" si="3"/>
        <v>1000/KG</v>
      </c>
      <c r="I424" s="4">
        <v>1000.0</v>
      </c>
      <c r="J424" s="3" t="s">
        <v>35</v>
      </c>
      <c r="K424" s="16">
        <v>300.09</v>
      </c>
      <c r="L424" s="16"/>
    </row>
    <row r="425" ht="15.75" customHeight="1">
      <c r="A425" s="17" t="s">
        <v>16</v>
      </c>
      <c r="C425" s="20" t="s">
        <v>878</v>
      </c>
      <c r="D425" s="21" t="s">
        <v>879</v>
      </c>
      <c r="E425" s="4"/>
      <c r="F425" s="18" t="str">
        <f t="shared" si="28"/>
        <v>FOOD</v>
      </c>
      <c r="G425" s="18" t="s">
        <v>19</v>
      </c>
      <c r="H425" s="4" t="str">
        <f t="shared" si="3"/>
        <v>600/KG</v>
      </c>
      <c r="I425" s="4">
        <v>600.0</v>
      </c>
      <c r="J425" s="3" t="s">
        <v>35</v>
      </c>
      <c r="K425" s="16">
        <v>630.0</v>
      </c>
      <c r="L425" s="16"/>
    </row>
    <row r="426" ht="15.75" customHeight="1">
      <c r="A426" s="17" t="s">
        <v>16</v>
      </c>
      <c r="C426" s="20" t="s">
        <v>880</v>
      </c>
      <c r="D426" s="4" t="s">
        <v>881</v>
      </c>
      <c r="E426" s="4"/>
      <c r="F426" s="18" t="str">
        <f t="shared" si="28"/>
        <v>FOOD</v>
      </c>
      <c r="G426" s="18" t="s">
        <v>19</v>
      </c>
      <c r="H426" s="4" t="str">
        <f t="shared" si="3"/>
        <v>1000/KG</v>
      </c>
      <c r="I426" s="4">
        <v>1000.0</v>
      </c>
      <c r="J426" s="3" t="s">
        <v>35</v>
      </c>
      <c r="K426" s="16">
        <v>530.25</v>
      </c>
      <c r="L426" s="16"/>
    </row>
    <row r="427" ht="15.75" customHeight="1">
      <c r="A427" s="17" t="s">
        <v>16</v>
      </c>
      <c r="C427" s="4" t="s">
        <v>882</v>
      </c>
      <c r="D427" s="4" t="s">
        <v>883</v>
      </c>
      <c r="E427" s="4"/>
      <c r="F427" s="18" t="str">
        <f t="shared" si="28"/>
        <v>FOOD</v>
      </c>
      <c r="G427" s="18" t="s">
        <v>19</v>
      </c>
      <c r="H427" s="4" t="str">
        <f t="shared" si="3"/>
        <v>1000/KG</v>
      </c>
      <c r="I427" s="4">
        <v>1000.0</v>
      </c>
      <c r="J427" s="3" t="s">
        <v>35</v>
      </c>
      <c r="K427" s="16">
        <v>553.57</v>
      </c>
      <c r="L427" s="16"/>
    </row>
    <row r="428" ht="15.75" customHeight="1">
      <c r="A428" s="17" t="s">
        <v>16</v>
      </c>
      <c r="C428" s="20" t="s">
        <v>884</v>
      </c>
      <c r="D428" s="3" t="s">
        <v>885</v>
      </c>
      <c r="E428" s="4"/>
      <c r="F428" s="18" t="str">
        <f t="shared" si="28"/>
        <v>FOOD</v>
      </c>
      <c r="G428" s="18" t="s">
        <v>19</v>
      </c>
      <c r="H428" s="4" t="str">
        <f t="shared" si="3"/>
        <v>8/BOT</v>
      </c>
      <c r="I428" s="4">
        <v>8.0</v>
      </c>
      <c r="J428" s="3" t="s">
        <v>113</v>
      </c>
      <c r="K428" s="32">
        <v>105.26315789473666</v>
      </c>
      <c r="L428" s="16"/>
    </row>
    <row r="429" ht="15.75" customHeight="1">
      <c r="A429" s="17" t="s">
        <v>16</v>
      </c>
      <c r="C429" s="20" t="s">
        <v>886</v>
      </c>
      <c r="D429" s="3" t="s">
        <v>887</v>
      </c>
      <c r="E429" s="4"/>
      <c r="F429" s="18" t="str">
        <f t="shared" si="28"/>
        <v>FOOD</v>
      </c>
      <c r="G429" s="18" t="s">
        <v>19</v>
      </c>
      <c r="H429" s="4" t="str">
        <f t="shared" si="3"/>
        <v>8/BOT</v>
      </c>
      <c r="I429" s="4">
        <v>8.0</v>
      </c>
      <c r="J429" s="3" t="s">
        <v>113</v>
      </c>
      <c r="K429" s="16">
        <v>100.8</v>
      </c>
      <c r="L429" s="16"/>
    </row>
    <row r="430" ht="15.75" customHeight="1">
      <c r="A430" s="17" t="s">
        <v>16</v>
      </c>
      <c r="C430" s="4" t="s">
        <v>888</v>
      </c>
      <c r="D430" s="4" t="s">
        <v>889</v>
      </c>
      <c r="E430" s="4"/>
      <c r="F430" s="18" t="s">
        <v>40</v>
      </c>
      <c r="G430" s="18" t="s">
        <v>41</v>
      </c>
      <c r="H430" s="4" t="str">
        <f t="shared" si="3"/>
        <v>1/PC</v>
      </c>
      <c r="I430" s="4">
        <v>1.0</v>
      </c>
      <c r="J430" s="3" t="s">
        <v>42</v>
      </c>
      <c r="K430" s="16">
        <v>6.85</v>
      </c>
      <c r="L430" s="16"/>
    </row>
    <row r="431" ht="15.75" customHeight="1">
      <c r="A431" s="17" t="s">
        <v>16</v>
      </c>
      <c r="C431" s="4" t="s">
        <v>890</v>
      </c>
      <c r="D431" s="4" t="s">
        <v>891</v>
      </c>
      <c r="E431" s="4"/>
      <c r="F431" s="18" t="str">
        <f t="shared" ref="F431:F433" si="29">G431</f>
        <v>FOOD</v>
      </c>
      <c r="G431" s="18" t="s">
        <v>19</v>
      </c>
      <c r="H431" s="4" t="str">
        <f t="shared" si="3"/>
        <v>1000/KG</v>
      </c>
      <c r="I431" s="4">
        <v>1000.0</v>
      </c>
      <c r="J431" s="3" t="s">
        <v>35</v>
      </c>
      <c r="K431" s="16">
        <v>125.22</v>
      </c>
      <c r="L431" s="16"/>
    </row>
    <row r="432" ht="15.75" customHeight="1">
      <c r="A432" s="17" t="s">
        <v>16</v>
      </c>
      <c r="C432" s="20" t="s">
        <v>892</v>
      </c>
      <c r="D432" s="4" t="s">
        <v>893</v>
      </c>
      <c r="E432" s="4"/>
      <c r="F432" s="18" t="str">
        <f t="shared" si="29"/>
        <v>FOOD</v>
      </c>
      <c r="G432" s="18" t="s">
        <v>19</v>
      </c>
      <c r="H432" s="4" t="str">
        <f t="shared" si="3"/>
        <v>10/WHOLE</v>
      </c>
      <c r="I432" s="18">
        <v>10.0</v>
      </c>
      <c r="J432" s="3" t="s">
        <v>57</v>
      </c>
      <c r="K432" s="16">
        <v>568.3000000000001</v>
      </c>
      <c r="L432" s="16"/>
    </row>
    <row r="433" ht="15.75" customHeight="1">
      <c r="A433" s="17" t="s">
        <v>16</v>
      </c>
      <c r="C433" s="4" t="s">
        <v>894</v>
      </c>
      <c r="D433" s="4" t="s">
        <v>895</v>
      </c>
      <c r="E433" s="4"/>
      <c r="F433" s="18" t="str">
        <f t="shared" si="29"/>
        <v>FOOD</v>
      </c>
      <c r="G433" s="18" t="s">
        <v>19</v>
      </c>
      <c r="H433" s="4" t="str">
        <f t="shared" si="3"/>
        <v>8/WHOLE</v>
      </c>
      <c r="I433" s="28">
        <v>8.0</v>
      </c>
      <c r="J433" s="3" t="s">
        <v>57</v>
      </c>
      <c r="K433" s="16">
        <v>331.8</v>
      </c>
      <c r="L433" s="16"/>
    </row>
    <row r="434" ht="15.75" customHeight="1">
      <c r="A434" s="17" t="s">
        <v>16</v>
      </c>
      <c r="C434" s="4" t="s">
        <v>896</v>
      </c>
      <c r="D434" s="4" t="s">
        <v>897</v>
      </c>
      <c r="E434" s="4"/>
      <c r="F434" s="18" t="s">
        <v>40</v>
      </c>
      <c r="G434" s="18" t="s">
        <v>41</v>
      </c>
      <c r="H434" s="4" t="str">
        <f t="shared" si="3"/>
        <v>1/PC</v>
      </c>
      <c r="I434" s="4">
        <v>1.0</v>
      </c>
      <c r="J434" s="3" t="s">
        <v>42</v>
      </c>
      <c r="K434" s="16">
        <v>1.61</v>
      </c>
      <c r="L434" s="16"/>
    </row>
    <row r="435" ht="15.75" customHeight="1">
      <c r="A435" s="17" t="s">
        <v>16</v>
      </c>
      <c r="C435" s="4" t="s">
        <v>898</v>
      </c>
      <c r="D435" s="4" t="s">
        <v>899</v>
      </c>
      <c r="E435" s="4"/>
      <c r="F435" s="18" t="s">
        <v>40</v>
      </c>
      <c r="G435" s="18" t="s">
        <v>41</v>
      </c>
      <c r="H435" s="4" t="str">
        <f t="shared" si="3"/>
        <v>1/PC</v>
      </c>
      <c r="I435" s="4">
        <v>1.0</v>
      </c>
      <c r="J435" s="3" t="s">
        <v>42</v>
      </c>
      <c r="K435" s="16">
        <v>1.26</v>
      </c>
      <c r="L435" s="16"/>
    </row>
    <row r="436" ht="15.75" customHeight="1">
      <c r="A436" s="17" t="s">
        <v>16</v>
      </c>
      <c r="C436" s="20" t="s">
        <v>900</v>
      </c>
      <c r="D436" s="4" t="s">
        <v>901</v>
      </c>
      <c r="E436" s="4"/>
      <c r="F436" s="18" t="str">
        <f t="shared" ref="F436:F444" si="30">G436</f>
        <v>FOOD</v>
      </c>
      <c r="G436" s="18" t="s">
        <v>19</v>
      </c>
      <c r="H436" s="4" t="str">
        <f t="shared" si="3"/>
        <v>1000/KG</v>
      </c>
      <c r="I436" s="4">
        <v>1000.0</v>
      </c>
      <c r="J436" s="3" t="s">
        <v>35</v>
      </c>
      <c r="K436" s="16">
        <v>494.79</v>
      </c>
      <c r="L436" s="16"/>
    </row>
    <row r="437" ht="15.75" customHeight="1">
      <c r="A437" s="17" t="s">
        <v>16</v>
      </c>
      <c r="C437" s="20" t="s">
        <v>902</v>
      </c>
      <c r="D437" s="20" t="s">
        <v>903</v>
      </c>
      <c r="E437" s="4"/>
      <c r="F437" s="18" t="str">
        <f t="shared" si="30"/>
        <v>FOOD</v>
      </c>
      <c r="G437" s="18" t="s">
        <v>19</v>
      </c>
      <c r="H437" s="4" t="str">
        <f t="shared" si="3"/>
        <v>1000/LIT</v>
      </c>
      <c r="I437" s="4">
        <v>1000.0</v>
      </c>
      <c r="J437" s="3" t="s">
        <v>20</v>
      </c>
      <c r="K437" s="16">
        <v>373.7</v>
      </c>
      <c r="L437" s="16"/>
    </row>
    <row r="438" ht="15.75" customHeight="1">
      <c r="A438" s="17" t="s">
        <v>16</v>
      </c>
      <c r="C438" s="20" t="s">
        <v>904</v>
      </c>
      <c r="D438" s="4" t="s">
        <v>905</v>
      </c>
      <c r="E438" s="4"/>
      <c r="F438" s="18" t="str">
        <f t="shared" si="30"/>
        <v>FOOD</v>
      </c>
      <c r="G438" s="18" t="s">
        <v>19</v>
      </c>
      <c r="H438" s="4" t="str">
        <f t="shared" si="3"/>
        <v>1/PACK</v>
      </c>
      <c r="I438" s="18">
        <v>1.0</v>
      </c>
      <c r="J438" s="4" t="s">
        <v>23</v>
      </c>
      <c r="K438" s="16">
        <v>41.2</v>
      </c>
      <c r="L438" s="16"/>
    </row>
    <row r="439" ht="15.75" customHeight="1">
      <c r="A439" s="17" t="s">
        <v>16</v>
      </c>
      <c r="C439" s="4" t="s">
        <v>906</v>
      </c>
      <c r="D439" s="4" t="s">
        <v>907</v>
      </c>
      <c r="E439" s="4"/>
      <c r="F439" s="18" t="str">
        <f t="shared" si="30"/>
        <v>FOOD</v>
      </c>
      <c r="G439" s="18" t="s">
        <v>19</v>
      </c>
      <c r="H439" s="4" t="str">
        <f t="shared" si="3"/>
        <v>1/PC</v>
      </c>
      <c r="I439" s="4">
        <v>1.0</v>
      </c>
      <c r="J439" s="3" t="s">
        <v>42</v>
      </c>
      <c r="K439" s="16">
        <v>11.799999999999999</v>
      </c>
      <c r="L439" s="16"/>
    </row>
    <row r="440" ht="15.75" customHeight="1">
      <c r="A440" s="17" t="s">
        <v>16</v>
      </c>
      <c r="C440" s="4" t="s">
        <v>908</v>
      </c>
      <c r="D440" s="4" t="s">
        <v>909</v>
      </c>
      <c r="E440" s="4"/>
      <c r="F440" s="18" t="str">
        <f t="shared" si="30"/>
        <v>FOOD</v>
      </c>
      <c r="G440" s="18" t="s">
        <v>19</v>
      </c>
      <c r="H440" s="4" t="str">
        <f t="shared" si="3"/>
        <v>1000/LIT</v>
      </c>
      <c r="I440" s="4">
        <v>1000.0</v>
      </c>
      <c r="J440" s="3" t="s">
        <v>20</v>
      </c>
      <c r="K440" s="16">
        <v>59.69</v>
      </c>
      <c r="L440" s="16"/>
    </row>
    <row r="441" ht="15.75" customHeight="1">
      <c r="A441" s="17" t="s">
        <v>16</v>
      </c>
      <c r="C441" s="4" t="s">
        <v>910</v>
      </c>
      <c r="D441" s="4" t="s">
        <v>911</v>
      </c>
      <c r="E441" s="4"/>
      <c r="F441" s="18" t="str">
        <f t="shared" si="30"/>
        <v>FOOD</v>
      </c>
      <c r="G441" s="18" t="s">
        <v>19</v>
      </c>
      <c r="H441" s="4" t="str">
        <f t="shared" si="3"/>
        <v>1000/LIT</v>
      </c>
      <c r="I441" s="4">
        <v>1000.0</v>
      </c>
      <c r="J441" s="3" t="s">
        <v>20</v>
      </c>
      <c r="K441" s="16">
        <v>238.95</v>
      </c>
      <c r="L441" s="16"/>
    </row>
    <row r="442" ht="15.75" customHeight="1">
      <c r="A442" s="17" t="s">
        <v>16</v>
      </c>
      <c r="C442" s="4" t="s">
        <v>912</v>
      </c>
      <c r="D442" s="4" t="s">
        <v>913</v>
      </c>
      <c r="E442" s="4"/>
      <c r="F442" s="18" t="str">
        <f t="shared" si="30"/>
        <v>FOOD</v>
      </c>
      <c r="G442" s="18" t="s">
        <v>19</v>
      </c>
      <c r="H442" s="4" t="str">
        <f t="shared" si="3"/>
        <v>1000/KG</v>
      </c>
      <c r="I442" s="4">
        <v>1000.0</v>
      </c>
      <c r="J442" s="3" t="s">
        <v>35</v>
      </c>
      <c r="K442" s="16">
        <v>707.77</v>
      </c>
      <c r="L442" s="16"/>
    </row>
    <row r="443" ht="15.75" customHeight="1">
      <c r="A443" s="17" t="s">
        <v>16</v>
      </c>
      <c r="C443" s="4" t="s">
        <v>914</v>
      </c>
      <c r="D443" s="4" t="s">
        <v>915</v>
      </c>
      <c r="E443" s="4"/>
      <c r="F443" s="18" t="str">
        <f t="shared" si="30"/>
        <v>FOOD</v>
      </c>
      <c r="G443" s="18" t="s">
        <v>19</v>
      </c>
      <c r="H443" s="4" t="str">
        <f t="shared" si="3"/>
        <v>1000/PC</v>
      </c>
      <c r="I443" s="4">
        <v>1000.0</v>
      </c>
      <c r="J443" s="3" t="s">
        <v>42</v>
      </c>
      <c r="K443" s="16">
        <v>80.12</v>
      </c>
      <c r="L443" s="16"/>
    </row>
    <row r="444" ht="15.75" customHeight="1">
      <c r="A444" s="17" t="s">
        <v>16</v>
      </c>
      <c r="C444" s="20" t="s">
        <v>916</v>
      </c>
      <c r="D444" s="3" t="s">
        <v>917</v>
      </c>
      <c r="E444" s="4"/>
      <c r="F444" s="18" t="str">
        <f t="shared" si="30"/>
        <v>FOOD</v>
      </c>
      <c r="G444" s="18" t="s">
        <v>19</v>
      </c>
      <c r="H444" s="4" t="str">
        <f t="shared" si="3"/>
        <v>8/BOT</v>
      </c>
      <c r="I444" s="4">
        <v>8.0</v>
      </c>
      <c r="J444" s="3" t="s">
        <v>113</v>
      </c>
      <c r="K444" s="16">
        <v>170.1</v>
      </c>
      <c r="L444" s="16"/>
    </row>
    <row r="445" ht="15.75" customHeight="1">
      <c r="A445" s="17" t="s">
        <v>16</v>
      </c>
      <c r="C445" s="4" t="s">
        <v>918</v>
      </c>
      <c r="D445" s="4" t="s">
        <v>919</v>
      </c>
      <c r="E445" s="4"/>
      <c r="F445" s="18" t="s">
        <v>40</v>
      </c>
      <c r="G445" s="18" t="s">
        <v>41</v>
      </c>
      <c r="H445" s="4" t="str">
        <f t="shared" si="3"/>
        <v>1/PC</v>
      </c>
      <c r="I445" s="4">
        <v>1.0</v>
      </c>
      <c r="J445" s="3" t="s">
        <v>42</v>
      </c>
      <c r="K445" s="16">
        <v>0.8</v>
      </c>
      <c r="L445" s="16"/>
    </row>
    <row r="446" ht="15.75" customHeight="1">
      <c r="A446" s="17" t="s">
        <v>16</v>
      </c>
      <c r="C446" s="20" t="s">
        <v>918</v>
      </c>
      <c r="D446" s="21" t="s">
        <v>920</v>
      </c>
      <c r="E446" s="4"/>
      <c r="F446" s="18" t="s">
        <v>40</v>
      </c>
      <c r="G446" s="18" t="s">
        <v>41</v>
      </c>
      <c r="H446" s="4" t="str">
        <f t="shared" si="3"/>
        <v>100/PACK(100)</v>
      </c>
      <c r="I446" s="31">
        <v>100.0</v>
      </c>
      <c r="J446" s="24" t="s">
        <v>445</v>
      </c>
      <c r="K446" s="16">
        <v>73.12</v>
      </c>
      <c r="L446" s="16"/>
    </row>
    <row r="447" ht="15.75" customHeight="1">
      <c r="A447" s="17" t="s">
        <v>16</v>
      </c>
      <c r="C447" s="4" t="s">
        <v>921</v>
      </c>
      <c r="D447" s="4" t="s">
        <v>922</v>
      </c>
      <c r="E447" s="4"/>
      <c r="F447" s="18" t="str">
        <f t="shared" ref="F447:F448" si="31">G447</f>
        <v>BEVERAGE</v>
      </c>
      <c r="G447" s="18" t="s">
        <v>54</v>
      </c>
      <c r="H447" s="4" t="str">
        <f t="shared" si="3"/>
        <v>1000/LIT</v>
      </c>
      <c r="I447" s="4">
        <v>1000.0</v>
      </c>
      <c r="J447" s="3" t="s">
        <v>20</v>
      </c>
      <c r="K447" s="34">
        <f>8.41*10</f>
        <v>84.1</v>
      </c>
      <c r="L447" s="34"/>
    </row>
    <row r="448" ht="15.75" customHeight="1">
      <c r="A448" s="17" t="s">
        <v>16</v>
      </c>
      <c r="C448" s="4" t="s">
        <v>923</v>
      </c>
      <c r="D448" s="4" t="s">
        <v>924</v>
      </c>
      <c r="E448" s="4"/>
      <c r="F448" s="18" t="str">
        <f t="shared" si="31"/>
        <v>FOOD</v>
      </c>
      <c r="G448" s="18" t="s">
        <v>19</v>
      </c>
      <c r="H448" s="4" t="str">
        <f t="shared" si="3"/>
        <v>1000/LIT</v>
      </c>
      <c r="I448" s="4">
        <v>1000.0</v>
      </c>
      <c r="J448" s="3" t="s">
        <v>20</v>
      </c>
      <c r="K448" s="16">
        <v>1255.77</v>
      </c>
      <c r="L448" s="16"/>
    </row>
    <row r="449" ht="15.75" customHeight="1">
      <c r="A449" s="17" t="s">
        <v>16</v>
      </c>
      <c r="C449" s="4" t="s">
        <v>925</v>
      </c>
      <c r="D449" s="4" t="s">
        <v>926</v>
      </c>
      <c r="E449" s="4"/>
      <c r="F449" s="18" t="s">
        <v>40</v>
      </c>
      <c r="G449" s="18" t="s">
        <v>41</v>
      </c>
      <c r="H449" s="4" t="str">
        <f t="shared" si="3"/>
        <v>1/PC</v>
      </c>
      <c r="I449" s="4">
        <v>1.0</v>
      </c>
      <c r="J449" s="3" t="s">
        <v>42</v>
      </c>
      <c r="K449" s="16">
        <v>3.69</v>
      </c>
      <c r="L449" s="16"/>
    </row>
    <row r="450" ht="15.75" customHeight="1">
      <c r="A450" s="17" t="s">
        <v>16</v>
      </c>
      <c r="C450" s="4" t="s">
        <v>927</v>
      </c>
      <c r="D450" s="4" t="s">
        <v>928</v>
      </c>
      <c r="E450" s="4"/>
      <c r="F450" s="18" t="s">
        <v>40</v>
      </c>
      <c r="G450" s="18" t="s">
        <v>41</v>
      </c>
      <c r="H450" s="4" t="str">
        <f t="shared" si="3"/>
        <v>1/PC</v>
      </c>
      <c r="I450" s="4">
        <v>1.0</v>
      </c>
      <c r="J450" s="3" t="s">
        <v>42</v>
      </c>
      <c r="K450" s="16">
        <v>2.74</v>
      </c>
      <c r="L450" s="16"/>
    </row>
    <row r="451" ht="15.75" customHeight="1">
      <c r="A451" s="17" t="s">
        <v>16</v>
      </c>
      <c r="C451" s="4" t="s">
        <v>929</v>
      </c>
      <c r="D451" s="4" t="s">
        <v>930</v>
      </c>
      <c r="E451" s="4"/>
      <c r="F451" s="18" t="s">
        <v>40</v>
      </c>
      <c r="G451" s="18" t="s">
        <v>41</v>
      </c>
      <c r="H451" s="4" t="str">
        <f t="shared" si="3"/>
        <v>1/PC</v>
      </c>
      <c r="I451" s="4">
        <v>1.0</v>
      </c>
      <c r="J451" s="3" t="s">
        <v>42</v>
      </c>
      <c r="K451" s="16">
        <v>1.07</v>
      </c>
      <c r="L451" s="16"/>
    </row>
    <row r="452" ht="15.75" customHeight="1">
      <c r="A452" s="17" t="s">
        <v>16</v>
      </c>
      <c r="C452" s="20" t="s">
        <v>931</v>
      </c>
      <c r="D452" s="4" t="s">
        <v>932</v>
      </c>
      <c r="E452" s="4"/>
      <c r="F452" s="18" t="s">
        <v>40</v>
      </c>
      <c r="G452" s="18" t="s">
        <v>41</v>
      </c>
      <c r="H452" s="4" t="str">
        <f t="shared" si="3"/>
        <v>1/PC</v>
      </c>
      <c r="I452" s="4">
        <v>1.0</v>
      </c>
      <c r="J452" s="3" t="s">
        <v>42</v>
      </c>
      <c r="K452" s="16">
        <v>2.15</v>
      </c>
      <c r="L452" s="16"/>
    </row>
    <row r="453" ht="15.75" customHeight="1">
      <c r="A453" s="17" t="s">
        <v>16</v>
      </c>
      <c r="C453" s="4" t="s">
        <v>933</v>
      </c>
      <c r="D453" s="4" t="s">
        <v>934</v>
      </c>
      <c r="E453" s="4"/>
      <c r="F453" s="18" t="s">
        <v>40</v>
      </c>
      <c r="G453" s="18" t="s">
        <v>41</v>
      </c>
      <c r="H453" s="4" t="str">
        <f t="shared" si="3"/>
        <v>1/PC</v>
      </c>
      <c r="I453" s="4">
        <v>1.0</v>
      </c>
      <c r="J453" s="3" t="s">
        <v>42</v>
      </c>
      <c r="K453" s="16">
        <v>0.84</v>
      </c>
      <c r="L453" s="16"/>
    </row>
    <row r="454" ht="15.75" customHeight="1">
      <c r="A454" s="17" t="s">
        <v>16</v>
      </c>
      <c r="C454" s="4" t="s">
        <v>935</v>
      </c>
      <c r="D454" s="4" t="s">
        <v>936</v>
      </c>
      <c r="E454" s="4"/>
      <c r="F454" s="18" t="s">
        <v>40</v>
      </c>
      <c r="G454" s="18" t="s">
        <v>41</v>
      </c>
      <c r="H454" s="4" t="str">
        <f t="shared" si="3"/>
        <v>1/PC</v>
      </c>
      <c r="I454" s="4">
        <v>1.0</v>
      </c>
      <c r="J454" s="3" t="s">
        <v>42</v>
      </c>
      <c r="K454" s="16">
        <v>4.76</v>
      </c>
      <c r="L454" s="16"/>
    </row>
    <row r="455" ht="15.75" customHeight="1">
      <c r="A455" s="17" t="s">
        <v>16</v>
      </c>
      <c r="C455" s="20" t="s">
        <v>937</v>
      </c>
      <c r="D455" s="4" t="s">
        <v>938</v>
      </c>
      <c r="E455" s="4"/>
      <c r="F455" s="18" t="s">
        <v>40</v>
      </c>
      <c r="G455" s="18" t="s">
        <v>41</v>
      </c>
      <c r="H455" s="4" t="str">
        <f t="shared" si="3"/>
        <v>100/Pack</v>
      </c>
      <c r="I455" s="18">
        <v>100.0</v>
      </c>
      <c r="J455" s="3" t="s">
        <v>441</v>
      </c>
      <c r="K455" s="16">
        <v>257.35294117647055</v>
      </c>
      <c r="L455" s="16"/>
    </row>
    <row r="456" ht="15.75" customHeight="1">
      <c r="A456" s="17" t="s">
        <v>16</v>
      </c>
      <c r="C456" s="4" t="s">
        <v>939</v>
      </c>
      <c r="D456" s="4" t="s">
        <v>940</v>
      </c>
      <c r="E456" s="4"/>
      <c r="F456" s="18" t="s">
        <v>40</v>
      </c>
      <c r="G456" s="18" t="s">
        <v>41</v>
      </c>
      <c r="H456" s="4" t="str">
        <f t="shared" si="3"/>
        <v>1/PC</v>
      </c>
      <c r="I456" s="4">
        <v>1.0</v>
      </c>
      <c r="J456" s="3" t="s">
        <v>42</v>
      </c>
      <c r="K456" s="16">
        <v>0.24</v>
      </c>
      <c r="L456" s="16"/>
    </row>
    <row r="457" ht="15.75" customHeight="1">
      <c r="A457" s="17" t="s">
        <v>16</v>
      </c>
      <c r="C457" s="20" t="s">
        <v>939</v>
      </c>
      <c r="D457" s="4" t="s">
        <v>941</v>
      </c>
      <c r="E457" s="4"/>
      <c r="F457" s="18" t="s">
        <v>40</v>
      </c>
      <c r="G457" s="18" t="s">
        <v>41</v>
      </c>
      <c r="H457" s="4" t="str">
        <f t="shared" si="3"/>
        <v>1000/PACK(1000)</v>
      </c>
      <c r="I457" s="18">
        <v>1000.0</v>
      </c>
      <c r="J457" s="3" t="s">
        <v>500</v>
      </c>
      <c r="K457" s="16">
        <v>173.44</v>
      </c>
      <c r="L457" s="16"/>
    </row>
    <row r="458" ht="15.75" customHeight="1">
      <c r="A458" s="17" t="s">
        <v>16</v>
      </c>
      <c r="C458" s="4" t="s">
        <v>942</v>
      </c>
      <c r="D458" s="4" t="s">
        <v>943</v>
      </c>
      <c r="E458" s="4"/>
      <c r="F458" s="18" t="s">
        <v>40</v>
      </c>
      <c r="G458" s="18" t="s">
        <v>41</v>
      </c>
      <c r="H458" s="4" t="str">
        <f t="shared" si="3"/>
        <v>1/PC</v>
      </c>
      <c r="I458" s="4">
        <v>1.0</v>
      </c>
      <c r="J458" s="3" t="s">
        <v>42</v>
      </c>
      <c r="K458" s="16">
        <v>0.33</v>
      </c>
      <c r="L458" s="16"/>
    </row>
    <row r="459" ht="15.75" customHeight="1">
      <c r="A459" s="17" t="s">
        <v>16</v>
      </c>
      <c r="C459" s="4" t="s">
        <v>944</v>
      </c>
      <c r="D459" s="4" t="s">
        <v>945</v>
      </c>
      <c r="E459" s="4"/>
      <c r="F459" s="18" t="s">
        <v>40</v>
      </c>
      <c r="G459" s="18" t="s">
        <v>41</v>
      </c>
      <c r="H459" s="4" t="str">
        <f t="shared" si="3"/>
        <v>1/PC</v>
      </c>
      <c r="I459" s="4">
        <v>1.0</v>
      </c>
      <c r="J459" s="3" t="s">
        <v>42</v>
      </c>
      <c r="K459" s="16">
        <v>1.3</v>
      </c>
      <c r="L459" s="16"/>
    </row>
    <row r="460" ht="15.75" customHeight="1">
      <c r="A460" s="17" t="s">
        <v>16</v>
      </c>
      <c r="C460" s="20" t="s">
        <v>946</v>
      </c>
      <c r="D460" s="4" t="s">
        <v>947</v>
      </c>
      <c r="E460" s="4"/>
      <c r="F460" s="18" t="s">
        <v>40</v>
      </c>
      <c r="G460" s="18" t="s">
        <v>41</v>
      </c>
      <c r="H460" s="4" t="str">
        <f t="shared" si="3"/>
        <v>1/PC</v>
      </c>
      <c r="I460" s="18">
        <v>1.0</v>
      </c>
      <c r="J460" s="3" t="s">
        <v>42</v>
      </c>
      <c r="K460" s="16">
        <v>75.6</v>
      </c>
      <c r="L460" s="16"/>
    </row>
    <row r="461" ht="15.75" customHeight="1">
      <c r="A461" s="17" t="s">
        <v>16</v>
      </c>
      <c r="C461" s="4" t="s">
        <v>948</v>
      </c>
      <c r="D461" s="4" t="s">
        <v>949</v>
      </c>
      <c r="E461" s="4"/>
      <c r="F461" s="18" t="str">
        <f t="shared" ref="F461:F471" si="32">G461</f>
        <v>FOOD</v>
      </c>
      <c r="G461" s="18" t="s">
        <v>19</v>
      </c>
      <c r="H461" s="4" t="str">
        <f t="shared" si="3"/>
        <v>1000/KG</v>
      </c>
      <c r="I461" s="4">
        <v>1000.0</v>
      </c>
      <c r="J461" s="3" t="s">
        <v>35</v>
      </c>
      <c r="K461" s="16">
        <v>84.53</v>
      </c>
      <c r="L461" s="16"/>
    </row>
    <row r="462" ht="15.75" customHeight="1">
      <c r="A462" s="17" t="s">
        <v>16</v>
      </c>
      <c r="C462" s="4" t="s">
        <v>950</v>
      </c>
      <c r="D462" s="4" t="s">
        <v>951</v>
      </c>
      <c r="E462" s="4"/>
      <c r="F462" s="18" t="str">
        <f t="shared" si="32"/>
        <v>FOOD</v>
      </c>
      <c r="G462" s="18" t="s">
        <v>19</v>
      </c>
      <c r="H462" s="4" t="str">
        <f t="shared" si="3"/>
        <v>1/PC</v>
      </c>
      <c r="I462" s="4">
        <v>1.0</v>
      </c>
      <c r="J462" s="3" t="s">
        <v>42</v>
      </c>
      <c r="K462" s="16">
        <v>0.74</v>
      </c>
      <c r="L462" s="16"/>
    </row>
    <row r="463" ht="15.75" customHeight="1">
      <c r="A463" s="17" t="s">
        <v>16</v>
      </c>
      <c r="C463" s="4" t="s">
        <v>952</v>
      </c>
      <c r="D463" s="4" t="s">
        <v>953</v>
      </c>
      <c r="E463" s="4"/>
      <c r="F463" s="18" t="str">
        <f t="shared" si="32"/>
        <v>FOOD</v>
      </c>
      <c r="G463" s="18" t="s">
        <v>19</v>
      </c>
      <c r="H463" s="4" t="str">
        <f t="shared" si="3"/>
        <v>1000/KG</v>
      </c>
      <c r="I463" s="4">
        <v>1000.0</v>
      </c>
      <c r="J463" s="3" t="s">
        <v>35</v>
      </c>
      <c r="K463" s="16">
        <v>96.89</v>
      </c>
      <c r="L463" s="16"/>
    </row>
    <row r="464" ht="15.75" customHeight="1">
      <c r="A464" s="17" t="s">
        <v>16</v>
      </c>
      <c r="C464" s="20" t="s">
        <v>954</v>
      </c>
      <c r="D464" s="4" t="s">
        <v>955</v>
      </c>
      <c r="E464" s="4"/>
      <c r="F464" s="18" t="str">
        <f t="shared" si="32"/>
        <v>FOOD</v>
      </c>
      <c r="G464" s="18" t="s">
        <v>19</v>
      </c>
      <c r="H464" s="4" t="str">
        <f t="shared" si="3"/>
        <v>1/PC</v>
      </c>
      <c r="I464" s="4">
        <v>1.0</v>
      </c>
      <c r="J464" s="3" t="s">
        <v>42</v>
      </c>
      <c r="K464" s="16">
        <v>29.5</v>
      </c>
      <c r="L464" s="16"/>
    </row>
    <row r="465" ht="15.75" customHeight="1">
      <c r="A465" s="17" t="s">
        <v>16</v>
      </c>
      <c r="C465" s="4" t="s">
        <v>956</v>
      </c>
      <c r="D465" s="4" t="s">
        <v>957</v>
      </c>
      <c r="E465" s="4"/>
      <c r="F465" s="18" t="str">
        <f t="shared" si="32"/>
        <v>FOOD</v>
      </c>
      <c r="G465" s="18" t="s">
        <v>19</v>
      </c>
      <c r="H465" s="4" t="str">
        <f t="shared" si="3"/>
        <v>1/PC</v>
      </c>
      <c r="I465" s="4">
        <v>1.0</v>
      </c>
      <c r="J465" s="3" t="s">
        <v>42</v>
      </c>
      <c r="K465" s="16">
        <v>23.6</v>
      </c>
      <c r="L465" s="16"/>
    </row>
    <row r="466" ht="15.75" customHeight="1">
      <c r="A466" s="17" t="s">
        <v>16</v>
      </c>
      <c r="C466" s="4" t="s">
        <v>958</v>
      </c>
      <c r="D466" s="4" t="s">
        <v>959</v>
      </c>
      <c r="E466" s="4"/>
      <c r="F466" s="18" t="str">
        <f t="shared" si="32"/>
        <v>FOOD</v>
      </c>
      <c r="G466" s="18" t="s">
        <v>19</v>
      </c>
      <c r="H466" s="4" t="str">
        <f t="shared" si="3"/>
        <v>1000/PACK</v>
      </c>
      <c r="I466" s="4">
        <v>1000.0</v>
      </c>
      <c r="J466" s="3" t="s">
        <v>23</v>
      </c>
      <c r="K466" s="16">
        <v>63.6</v>
      </c>
      <c r="L466" s="16"/>
    </row>
    <row r="467" ht="15.75" customHeight="1">
      <c r="A467" s="17" t="s">
        <v>16</v>
      </c>
      <c r="C467" s="4" t="s">
        <v>960</v>
      </c>
      <c r="D467" s="4" t="s">
        <v>961</v>
      </c>
      <c r="E467" s="4"/>
      <c r="F467" s="18" t="str">
        <f t="shared" si="32"/>
        <v>FOOD</v>
      </c>
      <c r="G467" s="18" t="s">
        <v>19</v>
      </c>
      <c r="H467" s="4" t="str">
        <f t="shared" si="3"/>
        <v>1000/KG</v>
      </c>
      <c r="I467" s="4">
        <v>1000.0</v>
      </c>
      <c r="J467" s="3" t="s">
        <v>35</v>
      </c>
      <c r="K467" s="16">
        <v>591.57</v>
      </c>
      <c r="L467" s="16"/>
    </row>
    <row r="468" ht="15.75" customHeight="1">
      <c r="A468" s="17" t="s">
        <v>16</v>
      </c>
      <c r="C468" s="4" t="s">
        <v>962</v>
      </c>
      <c r="D468" s="4" t="s">
        <v>963</v>
      </c>
      <c r="E468" s="4"/>
      <c r="F468" s="18" t="str">
        <f t="shared" si="32"/>
        <v>FOOD</v>
      </c>
      <c r="G468" s="18" t="s">
        <v>19</v>
      </c>
      <c r="H468" s="4" t="str">
        <f t="shared" si="3"/>
        <v>10/WHOLE</v>
      </c>
      <c r="I468" s="4">
        <v>10.0</v>
      </c>
      <c r="J468" s="3" t="s">
        <v>57</v>
      </c>
      <c r="K468" s="16">
        <v>347.1</v>
      </c>
      <c r="L468" s="16"/>
    </row>
    <row r="469" ht="15.75" customHeight="1">
      <c r="A469" s="17" t="s">
        <v>16</v>
      </c>
      <c r="C469" s="4" t="s">
        <v>964</v>
      </c>
      <c r="D469" s="4" t="s">
        <v>965</v>
      </c>
      <c r="E469" s="4"/>
      <c r="F469" s="18" t="str">
        <f t="shared" si="32"/>
        <v>FOOD</v>
      </c>
      <c r="G469" s="18" t="s">
        <v>19</v>
      </c>
      <c r="H469" s="4" t="str">
        <f t="shared" si="3"/>
        <v>10/WHOLE</v>
      </c>
      <c r="I469" s="4">
        <v>10.0</v>
      </c>
      <c r="J469" s="3" t="s">
        <v>57</v>
      </c>
      <c r="K469" s="16">
        <v>115.3</v>
      </c>
      <c r="L469" s="16"/>
    </row>
    <row r="470" ht="15.75" customHeight="1">
      <c r="A470" s="17" t="s">
        <v>16</v>
      </c>
      <c r="C470" s="4" t="s">
        <v>966</v>
      </c>
      <c r="D470" s="4" t="s">
        <v>967</v>
      </c>
      <c r="E470" s="4"/>
      <c r="F470" s="18" t="str">
        <f t="shared" si="32"/>
        <v>FOOD</v>
      </c>
      <c r="G470" s="18" t="s">
        <v>19</v>
      </c>
      <c r="H470" s="4" t="str">
        <f t="shared" si="3"/>
        <v>1000/KG</v>
      </c>
      <c r="I470" s="4">
        <v>1000.0</v>
      </c>
      <c r="J470" s="3" t="s">
        <v>35</v>
      </c>
      <c r="K470" s="16">
        <v>82.66</v>
      </c>
      <c r="L470" s="16"/>
    </row>
    <row r="471" ht="15.75" customHeight="1">
      <c r="A471" s="17" t="s">
        <v>16</v>
      </c>
      <c r="C471" s="4" t="s">
        <v>968</v>
      </c>
      <c r="D471" s="4" t="s">
        <v>969</v>
      </c>
      <c r="E471" s="4"/>
      <c r="F471" s="18" t="str">
        <f t="shared" si="32"/>
        <v>FOOD</v>
      </c>
      <c r="G471" s="18" t="s">
        <v>19</v>
      </c>
      <c r="H471" s="4" t="str">
        <f t="shared" si="3"/>
        <v>1000/LIT</v>
      </c>
      <c r="I471" s="4">
        <v>1000.0</v>
      </c>
      <c r="J471" s="3" t="s">
        <v>20</v>
      </c>
      <c r="K471" s="16">
        <v>121.87</v>
      </c>
      <c r="L471" s="16"/>
    </row>
    <row r="472" ht="15.75" customHeight="1">
      <c r="A472" s="17" t="s">
        <v>16</v>
      </c>
      <c r="C472" s="4" t="s">
        <v>970</v>
      </c>
      <c r="D472" s="4" t="s">
        <v>971</v>
      </c>
      <c r="E472" s="4"/>
      <c r="F472" s="18" t="s">
        <v>40</v>
      </c>
      <c r="G472" s="18" t="s">
        <v>367</v>
      </c>
      <c r="H472" s="4" t="str">
        <f t="shared" si="3"/>
        <v>1/SHEETS</v>
      </c>
      <c r="I472" s="4">
        <v>1.0</v>
      </c>
      <c r="J472" s="3" t="s">
        <v>453</v>
      </c>
      <c r="K472" s="16">
        <v>0.69</v>
      </c>
      <c r="L472" s="16"/>
    </row>
    <row r="473" ht="15.75" customHeight="1">
      <c r="A473" s="17" t="s">
        <v>16</v>
      </c>
      <c r="C473" s="20" t="s">
        <v>970</v>
      </c>
      <c r="D473" s="4" t="s">
        <v>972</v>
      </c>
      <c r="E473" s="4"/>
      <c r="F473" s="18" t="s">
        <v>40</v>
      </c>
      <c r="G473" s="18" t="s">
        <v>367</v>
      </c>
      <c r="H473" s="4" t="str">
        <f t="shared" si="3"/>
        <v>40/PACK(40)</v>
      </c>
      <c r="I473" s="23">
        <v>40.0</v>
      </c>
      <c r="J473" s="24" t="s">
        <v>973</v>
      </c>
      <c r="K473" s="16">
        <v>34.2</v>
      </c>
      <c r="L473" s="16"/>
    </row>
    <row r="474" ht="15.75" customHeight="1">
      <c r="A474" s="17" t="s">
        <v>16</v>
      </c>
      <c r="C474" s="4" t="s">
        <v>974</v>
      </c>
      <c r="D474" s="4" t="s">
        <v>975</v>
      </c>
      <c r="E474" s="4"/>
      <c r="F474" s="18" t="str">
        <f t="shared" ref="F474:F475" si="33">G474</f>
        <v>BEVERAGE</v>
      </c>
      <c r="G474" s="18" t="s">
        <v>54</v>
      </c>
      <c r="H474" s="4" t="str">
        <f t="shared" si="3"/>
        <v>1000/LIT</v>
      </c>
      <c r="I474" s="4">
        <v>1000.0</v>
      </c>
      <c r="J474" s="3" t="s">
        <v>20</v>
      </c>
      <c r="K474" s="16">
        <v>107.81</v>
      </c>
      <c r="L474" s="16"/>
    </row>
    <row r="475" ht="15.75" customHeight="1">
      <c r="A475" s="17" t="s">
        <v>16</v>
      </c>
      <c r="C475" s="20" t="s">
        <v>976</v>
      </c>
      <c r="D475" s="21" t="s">
        <v>977</v>
      </c>
      <c r="E475" s="4"/>
      <c r="F475" s="18" t="str">
        <f t="shared" si="33"/>
        <v>BEVERAGE</v>
      </c>
      <c r="G475" s="18" t="s">
        <v>54</v>
      </c>
      <c r="H475" s="4" t="str">
        <f t="shared" si="3"/>
        <v>750/LIT</v>
      </c>
      <c r="I475" s="4">
        <v>750.0</v>
      </c>
      <c r="J475" s="3" t="s">
        <v>20</v>
      </c>
      <c r="K475" s="16">
        <v>1273.5</v>
      </c>
      <c r="L475" s="16"/>
    </row>
    <row r="476" ht="15.75" customHeight="1">
      <c r="A476" s="17" t="s">
        <v>16</v>
      </c>
      <c r="C476" s="20" t="s">
        <v>978</v>
      </c>
      <c r="D476" s="4" t="s">
        <v>979</v>
      </c>
      <c r="E476" s="4"/>
      <c r="F476" s="18" t="s">
        <v>40</v>
      </c>
      <c r="G476" s="18" t="s">
        <v>448</v>
      </c>
      <c r="H476" s="4" t="str">
        <f t="shared" si="3"/>
        <v>50/PC(50)</v>
      </c>
      <c r="I476" s="18">
        <v>50.0</v>
      </c>
      <c r="J476" s="3" t="s">
        <v>195</v>
      </c>
      <c r="K476" s="16">
        <v>6.56</v>
      </c>
      <c r="L476" s="16"/>
    </row>
    <row r="477" ht="15.75" customHeight="1">
      <c r="A477" s="17" t="s">
        <v>16</v>
      </c>
      <c r="C477" s="4" t="s">
        <v>980</v>
      </c>
      <c r="D477" s="4" t="s">
        <v>981</v>
      </c>
      <c r="E477" s="4"/>
      <c r="F477" s="18" t="s">
        <v>40</v>
      </c>
      <c r="G477" s="18" t="s">
        <v>448</v>
      </c>
      <c r="H477" s="4" t="str">
        <f t="shared" si="3"/>
        <v>50/PC</v>
      </c>
      <c r="I477" s="4">
        <v>50.0</v>
      </c>
      <c r="J477" s="3" t="s">
        <v>42</v>
      </c>
      <c r="K477" s="16">
        <v>0.08</v>
      </c>
      <c r="L477" s="16"/>
    </row>
    <row r="478" ht="15.75" customHeight="1">
      <c r="A478" s="17" t="s">
        <v>16</v>
      </c>
      <c r="C478" s="4" t="s">
        <v>982</v>
      </c>
      <c r="D478" s="4" t="s">
        <v>983</v>
      </c>
      <c r="E478" s="4"/>
      <c r="F478" s="18" t="s">
        <v>40</v>
      </c>
      <c r="G478" s="18" t="s">
        <v>41</v>
      </c>
      <c r="H478" s="4" t="str">
        <f t="shared" si="3"/>
        <v>48/PACK</v>
      </c>
      <c r="I478" s="4">
        <v>48.0</v>
      </c>
      <c r="J478" s="3" t="s">
        <v>23</v>
      </c>
      <c r="K478" s="16">
        <v>167.01680672268907</v>
      </c>
      <c r="L478" s="16"/>
    </row>
    <row r="479" ht="15.75" customHeight="1">
      <c r="A479" s="17" t="s">
        <v>16</v>
      </c>
      <c r="C479" s="4" t="s">
        <v>984</v>
      </c>
      <c r="D479" s="4" t="s">
        <v>985</v>
      </c>
      <c r="E479" s="4"/>
      <c r="F479" s="18" t="str">
        <f>G479</f>
        <v>FOOD</v>
      </c>
      <c r="G479" s="18" t="s">
        <v>19</v>
      </c>
      <c r="H479" s="4" t="str">
        <f t="shared" si="3"/>
        <v>3/PACK</v>
      </c>
      <c r="I479" s="4">
        <v>3.0</v>
      </c>
      <c r="J479" s="3" t="s">
        <v>23</v>
      </c>
      <c r="K479" s="16">
        <v>31.76</v>
      </c>
      <c r="L479" s="16"/>
    </row>
    <row r="480" ht="15.75" customHeight="1">
      <c r="A480" s="17" t="s">
        <v>16</v>
      </c>
      <c r="C480" s="4" t="s">
        <v>986</v>
      </c>
      <c r="D480" s="4" t="s">
        <v>987</v>
      </c>
      <c r="E480" s="4"/>
      <c r="F480" s="18" t="s">
        <v>40</v>
      </c>
      <c r="G480" s="18" t="s">
        <v>367</v>
      </c>
      <c r="H480" s="4" t="str">
        <f t="shared" si="3"/>
        <v>1/PC</v>
      </c>
      <c r="I480" s="4">
        <v>1.0</v>
      </c>
      <c r="J480" s="3" t="s">
        <v>42</v>
      </c>
      <c r="K480" s="16">
        <v>6.42</v>
      </c>
      <c r="L480" s="16"/>
    </row>
    <row r="481" ht="15.75" customHeight="1">
      <c r="A481" s="17" t="s">
        <v>16</v>
      </c>
      <c r="C481" s="4" t="s">
        <v>988</v>
      </c>
      <c r="D481" s="4" t="s">
        <v>989</v>
      </c>
      <c r="E481" s="4"/>
      <c r="F481" s="18" t="s">
        <v>40</v>
      </c>
      <c r="G481" s="18" t="s">
        <v>367</v>
      </c>
      <c r="H481" s="4" t="str">
        <f t="shared" si="3"/>
        <v>1/SHEETS</v>
      </c>
      <c r="I481" s="4">
        <v>1.0</v>
      </c>
      <c r="J481" s="3" t="s">
        <v>453</v>
      </c>
      <c r="K481" s="16">
        <v>0.16</v>
      </c>
      <c r="L481" s="16"/>
    </row>
    <row r="482" ht="15.75" customHeight="1">
      <c r="A482" s="17" t="s">
        <v>16</v>
      </c>
      <c r="C482" s="4" t="s">
        <v>990</v>
      </c>
      <c r="D482" s="4" t="s">
        <v>991</v>
      </c>
      <c r="E482" s="4"/>
      <c r="F482" s="18" t="s">
        <v>40</v>
      </c>
      <c r="G482" s="18" t="s">
        <v>367</v>
      </c>
      <c r="H482" s="4" t="str">
        <f t="shared" si="3"/>
        <v>1/SHEETS</v>
      </c>
      <c r="I482" s="4">
        <v>1.0</v>
      </c>
      <c r="J482" s="3" t="s">
        <v>453</v>
      </c>
      <c r="K482" s="16">
        <v>0.13</v>
      </c>
      <c r="L482" s="16"/>
    </row>
    <row r="483" ht="15.75" customHeight="1">
      <c r="A483" s="17" t="s">
        <v>16</v>
      </c>
      <c r="C483" s="20" t="s">
        <v>990</v>
      </c>
      <c r="D483" s="21" t="s">
        <v>992</v>
      </c>
      <c r="E483" s="4"/>
      <c r="F483" s="18" t="s">
        <v>40</v>
      </c>
      <c r="G483" s="18" t="s">
        <v>367</v>
      </c>
      <c r="H483" s="4" t="str">
        <f t="shared" si="3"/>
        <v>150/PACK(150)</v>
      </c>
      <c r="I483" s="4">
        <v>150.0</v>
      </c>
      <c r="J483" s="3" t="s">
        <v>993</v>
      </c>
      <c r="K483" s="32">
        <v>16.517857142857142</v>
      </c>
      <c r="L483" s="16"/>
    </row>
    <row r="484" ht="15.75" customHeight="1">
      <c r="A484" s="17" t="s">
        <v>16</v>
      </c>
      <c r="C484" s="4" t="s">
        <v>994</v>
      </c>
      <c r="D484" s="4" t="s">
        <v>995</v>
      </c>
      <c r="E484" s="4"/>
      <c r="F484" s="18" t="s">
        <v>40</v>
      </c>
      <c r="G484" s="18" t="s">
        <v>367</v>
      </c>
      <c r="H484" s="4" t="str">
        <f t="shared" si="3"/>
        <v>1/PC</v>
      </c>
      <c r="I484" s="4">
        <v>1.0</v>
      </c>
      <c r="J484" s="3" t="s">
        <v>42</v>
      </c>
      <c r="K484" s="16">
        <v>67.94</v>
      </c>
      <c r="L484" s="16"/>
    </row>
    <row r="485" ht="15.75" customHeight="1">
      <c r="A485" s="17" t="s">
        <v>16</v>
      </c>
      <c r="C485" s="20" t="s">
        <v>996</v>
      </c>
      <c r="D485" s="20" t="s">
        <v>997</v>
      </c>
      <c r="E485" s="4"/>
      <c r="F485" s="18" t="str">
        <f t="shared" ref="F485:F490" si="34">G485</f>
        <v>FOOD</v>
      </c>
      <c r="G485" s="18" t="s">
        <v>19</v>
      </c>
      <c r="H485" s="4" t="str">
        <f t="shared" si="3"/>
        <v>1000/KG</v>
      </c>
      <c r="I485" s="4">
        <v>1000.0</v>
      </c>
      <c r="J485" s="3" t="s">
        <v>35</v>
      </c>
      <c r="K485" s="16">
        <v>160.23</v>
      </c>
      <c r="L485" s="16"/>
    </row>
    <row r="486" ht="15.75" customHeight="1">
      <c r="A486" s="17" t="s">
        <v>16</v>
      </c>
      <c r="C486" s="4" t="s">
        <v>998</v>
      </c>
      <c r="D486" s="4" t="s">
        <v>999</v>
      </c>
      <c r="E486" s="4"/>
      <c r="F486" s="18" t="str">
        <f t="shared" si="34"/>
        <v>FOOD</v>
      </c>
      <c r="G486" s="18" t="s">
        <v>19</v>
      </c>
      <c r="H486" s="4" t="str">
        <f t="shared" si="3"/>
        <v>1000/KG</v>
      </c>
      <c r="I486" s="4">
        <v>1000.0</v>
      </c>
      <c r="J486" s="3" t="s">
        <v>35</v>
      </c>
      <c r="K486" s="16">
        <v>173.01</v>
      </c>
      <c r="L486" s="16"/>
    </row>
    <row r="487" ht="15.75" customHeight="1">
      <c r="A487" s="17" t="s">
        <v>16</v>
      </c>
      <c r="C487" s="20" t="s">
        <v>1000</v>
      </c>
      <c r="D487" s="4" t="s">
        <v>1001</v>
      </c>
      <c r="E487" s="4"/>
      <c r="F487" s="18" t="str">
        <f t="shared" si="34"/>
        <v>FOOD</v>
      </c>
      <c r="G487" s="18" t="s">
        <v>19</v>
      </c>
      <c r="H487" s="4" t="str">
        <f t="shared" si="3"/>
        <v>1000/KG</v>
      </c>
      <c r="I487" s="4">
        <v>1000.0</v>
      </c>
      <c r="J487" s="3" t="s">
        <v>35</v>
      </c>
      <c r="K487" s="16">
        <v>128.37</v>
      </c>
      <c r="L487" s="16"/>
    </row>
    <row r="488" ht="15.75" customHeight="1">
      <c r="A488" s="17" t="s">
        <v>16</v>
      </c>
      <c r="C488" s="4" t="s">
        <v>1002</v>
      </c>
      <c r="D488" s="4" t="s">
        <v>1003</v>
      </c>
      <c r="E488" s="4"/>
      <c r="F488" s="18" t="str">
        <f t="shared" si="34"/>
        <v>FOOD</v>
      </c>
      <c r="G488" s="18" t="s">
        <v>19</v>
      </c>
      <c r="H488" s="4" t="str">
        <f t="shared" si="3"/>
        <v>1000/KG</v>
      </c>
      <c r="I488" s="4">
        <v>1000.0</v>
      </c>
      <c r="J488" s="3" t="s">
        <v>35</v>
      </c>
      <c r="K488" s="16">
        <v>112.37</v>
      </c>
      <c r="L488" s="16"/>
    </row>
    <row r="489" ht="15.75" customHeight="1">
      <c r="A489" s="17" t="s">
        <v>16</v>
      </c>
      <c r="C489" s="21" t="s">
        <v>1004</v>
      </c>
      <c r="D489" s="4" t="s">
        <v>1005</v>
      </c>
      <c r="E489" s="4"/>
      <c r="F489" s="18" t="str">
        <f t="shared" si="34"/>
        <v>FOOD</v>
      </c>
      <c r="G489" s="18" t="s">
        <v>19</v>
      </c>
      <c r="H489" s="4" t="str">
        <f t="shared" si="3"/>
        <v>1000/KG</v>
      </c>
      <c r="I489" s="4">
        <v>1000.0</v>
      </c>
      <c r="J489" s="3" t="s">
        <v>35</v>
      </c>
      <c r="K489" s="16">
        <v>150.98</v>
      </c>
      <c r="L489" s="16"/>
    </row>
    <row r="490" ht="15.75" customHeight="1">
      <c r="A490" s="17" t="s">
        <v>16</v>
      </c>
      <c r="C490" s="4" t="s">
        <v>1006</v>
      </c>
      <c r="D490" s="4" t="s">
        <v>1007</v>
      </c>
      <c r="E490" s="4"/>
      <c r="F490" s="18" t="str">
        <f t="shared" si="34"/>
        <v>FOOD</v>
      </c>
      <c r="G490" s="18" t="s">
        <v>19</v>
      </c>
      <c r="H490" s="4" t="str">
        <f t="shared" si="3"/>
        <v>1000/KG</v>
      </c>
      <c r="I490" s="4">
        <v>1000.0</v>
      </c>
      <c r="J490" s="3" t="s">
        <v>35</v>
      </c>
      <c r="K490" s="16">
        <v>87.07</v>
      </c>
      <c r="L490" s="16"/>
    </row>
    <row r="491" ht="15.75" customHeight="1">
      <c r="A491" s="17" t="s">
        <v>16</v>
      </c>
      <c r="C491" s="4" t="s">
        <v>1008</v>
      </c>
      <c r="D491" s="4" t="s">
        <v>1009</v>
      </c>
      <c r="E491" s="4"/>
      <c r="F491" s="18" t="s">
        <v>40</v>
      </c>
      <c r="G491" s="18" t="s">
        <v>41</v>
      </c>
      <c r="H491" s="4" t="str">
        <f t="shared" si="3"/>
        <v>1/PC</v>
      </c>
      <c r="I491" s="4">
        <v>1.0</v>
      </c>
      <c r="J491" s="3" t="s">
        <v>42</v>
      </c>
      <c r="K491" s="16">
        <v>0.09</v>
      </c>
      <c r="L491" s="16"/>
    </row>
    <row r="492" ht="15.75" customHeight="1">
      <c r="A492" s="17" t="s">
        <v>16</v>
      </c>
      <c r="C492" s="20" t="s">
        <v>1008</v>
      </c>
      <c r="D492" s="4" t="s">
        <v>1010</v>
      </c>
      <c r="E492" s="4"/>
      <c r="F492" s="18" t="s">
        <v>40</v>
      </c>
      <c r="G492" s="18" t="s">
        <v>41</v>
      </c>
      <c r="H492" s="4" t="str">
        <f t="shared" si="3"/>
        <v>1000/PACK(1000)</v>
      </c>
      <c r="I492" s="18">
        <v>1000.0</v>
      </c>
      <c r="J492" s="3" t="s">
        <v>500</v>
      </c>
      <c r="K492" s="16">
        <v>121.87</v>
      </c>
      <c r="L492" s="16"/>
    </row>
    <row r="493" ht="15.75" customHeight="1">
      <c r="A493" s="17" t="s">
        <v>16</v>
      </c>
      <c r="C493" s="4" t="s">
        <v>1011</v>
      </c>
      <c r="D493" s="4" t="s">
        <v>1012</v>
      </c>
      <c r="E493" s="4"/>
      <c r="F493" s="18" t="s">
        <v>40</v>
      </c>
      <c r="G493" s="18" t="s">
        <v>41</v>
      </c>
      <c r="H493" s="4" t="str">
        <f t="shared" si="3"/>
        <v>1/PC</v>
      </c>
      <c r="I493" s="4">
        <v>1.0</v>
      </c>
      <c r="J493" s="3" t="s">
        <v>42</v>
      </c>
      <c r="K493" s="16">
        <v>29.84</v>
      </c>
      <c r="L493" s="16"/>
    </row>
    <row r="494" ht="15.75" customHeight="1">
      <c r="A494" s="17" t="s">
        <v>16</v>
      </c>
      <c r="C494" s="20" t="s">
        <v>1013</v>
      </c>
      <c r="D494" s="4" t="s">
        <v>1014</v>
      </c>
      <c r="E494" s="4"/>
      <c r="F494" s="18" t="str">
        <f t="shared" ref="F494:F530" si="35">G494</f>
        <v>FOOD</v>
      </c>
      <c r="G494" s="18" t="s">
        <v>19</v>
      </c>
      <c r="H494" s="4" t="str">
        <f t="shared" si="3"/>
        <v>6/PACK</v>
      </c>
      <c r="I494" s="18">
        <v>6.0</v>
      </c>
      <c r="J494" s="3" t="s">
        <v>23</v>
      </c>
      <c r="K494" s="16">
        <v>195.29999999999998</v>
      </c>
      <c r="L494" s="16"/>
    </row>
    <row r="495" ht="15.75" customHeight="1">
      <c r="A495" s="17" t="s">
        <v>16</v>
      </c>
      <c r="C495" s="4" t="s">
        <v>1015</v>
      </c>
      <c r="D495" s="4" t="s">
        <v>1016</v>
      </c>
      <c r="E495" s="4"/>
      <c r="F495" s="18" t="str">
        <f t="shared" si="35"/>
        <v>FOOD</v>
      </c>
      <c r="G495" s="18" t="s">
        <v>19</v>
      </c>
      <c r="H495" s="4" t="str">
        <f t="shared" si="3"/>
        <v>10/Whole</v>
      </c>
      <c r="I495" s="4">
        <v>10.0</v>
      </c>
      <c r="J495" s="3" t="s">
        <v>110</v>
      </c>
      <c r="K495" s="16">
        <v>665.9</v>
      </c>
      <c r="L495" s="16"/>
    </row>
    <row r="496" ht="15.75" customHeight="1">
      <c r="A496" s="17" t="s">
        <v>16</v>
      </c>
      <c r="C496" s="20" t="s">
        <v>1017</v>
      </c>
      <c r="D496" s="4" t="s">
        <v>1018</v>
      </c>
      <c r="E496" s="4"/>
      <c r="F496" s="18" t="str">
        <f t="shared" si="35"/>
        <v>FOOD</v>
      </c>
      <c r="G496" s="18" t="s">
        <v>19</v>
      </c>
      <c r="H496" s="4" t="str">
        <f t="shared" si="3"/>
        <v>10/WHOLE</v>
      </c>
      <c r="I496" s="18">
        <v>10.0</v>
      </c>
      <c r="J496" s="3" t="s">
        <v>57</v>
      </c>
      <c r="K496" s="16">
        <v>681.2</v>
      </c>
      <c r="L496" s="16"/>
    </row>
    <row r="497" ht="15.75" customHeight="1">
      <c r="A497" s="17" t="s">
        <v>16</v>
      </c>
      <c r="C497" s="20" t="s">
        <v>1019</v>
      </c>
      <c r="D497" s="4" t="s">
        <v>1020</v>
      </c>
      <c r="E497" s="4"/>
      <c r="F497" s="18" t="str">
        <f t="shared" si="35"/>
        <v>FOOD</v>
      </c>
      <c r="G497" s="18" t="s">
        <v>19</v>
      </c>
      <c r="H497" s="4" t="str">
        <f t="shared" si="3"/>
        <v>4/PACK</v>
      </c>
      <c r="I497" s="18">
        <v>4.0</v>
      </c>
      <c r="J497" s="3" t="s">
        <v>23</v>
      </c>
      <c r="K497" s="16">
        <v>131.79999999999998</v>
      </c>
      <c r="L497" s="16"/>
    </row>
    <row r="498" ht="15.75" customHeight="1">
      <c r="A498" s="17" t="s">
        <v>16</v>
      </c>
      <c r="C498" s="4" t="s">
        <v>1021</v>
      </c>
      <c r="D498" s="4" t="s">
        <v>1022</v>
      </c>
      <c r="E498" s="4"/>
      <c r="F498" s="18" t="str">
        <f t="shared" si="35"/>
        <v>FOOD</v>
      </c>
      <c r="G498" s="18" t="s">
        <v>19</v>
      </c>
      <c r="H498" s="4" t="str">
        <f t="shared" si="3"/>
        <v>1000/KG</v>
      </c>
      <c r="I498" s="4">
        <v>1000.0</v>
      </c>
      <c r="J498" s="3" t="s">
        <v>35</v>
      </c>
      <c r="K498" s="16">
        <v>21.0</v>
      </c>
      <c r="L498" s="16"/>
    </row>
    <row r="499" ht="15.75" customHeight="1">
      <c r="A499" s="17" t="s">
        <v>16</v>
      </c>
      <c r="C499" s="4" t="s">
        <v>1023</v>
      </c>
      <c r="D499" s="4" t="s">
        <v>1024</v>
      </c>
      <c r="E499" s="4"/>
      <c r="F499" s="18" t="str">
        <f t="shared" si="35"/>
        <v>FOOD</v>
      </c>
      <c r="G499" s="18" t="s">
        <v>19</v>
      </c>
      <c r="H499" s="4" t="str">
        <f t="shared" si="3"/>
        <v>8/Whole</v>
      </c>
      <c r="I499" s="4">
        <v>8.0</v>
      </c>
      <c r="J499" s="3" t="s">
        <v>110</v>
      </c>
      <c r="K499" s="16">
        <v>787.1</v>
      </c>
      <c r="L499" s="16"/>
    </row>
    <row r="500" ht="15.75" customHeight="1">
      <c r="A500" s="17" t="s">
        <v>16</v>
      </c>
      <c r="C500" s="20" t="s">
        <v>1025</v>
      </c>
      <c r="D500" s="4" t="s">
        <v>1026</v>
      </c>
      <c r="E500" s="4"/>
      <c r="F500" s="18" t="str">
        <f t="shared" si="35"/>
        <v>FOOD</v>
      </c>
      <c r="G500" s="18" t="s">
        <v>19</v>
      </c>
      <c r="H500" s="4" t="str">
        <f t="shared" si="3"/>
        <v>10/WHOLE</v>
      </c>
      <c r="I500" s="18">
        <v>10.0</v>
      </c>
      <c r="J500" s="3" t="s">
        <v>57</v>
      </c>
      <c r="K500" s="16">
        <v>524.8000000000001</v>
      </c>
      <c r="L500" s="16"/>
    </row>
    <row r="501" ht="15.75" customHeight="1">
      <c r="A501" s="17" t="s">
        <v>16</v>
      </c>
      <c r="C501" s="20" t="s">
        <v>1027</v>
      </c>
      <c r="D501" s="3" t="s">
        <v>1028</v>
      </c>
      <c r="E501" s="4"/>
      <c r="F501" s="18" t="str">
        <f t="shared" si="35"/>
        <v>FOOD</v>
      </c>
      <c r="G501" s="18" t="s">
        <v>19</v>
      </c>
      <c r="H501" s="4" t="str">
        <f t="shared" si="3"/>
        <v>10/WHOLE</v>
      </c>
      <c r="I501" s="4">
        <v>10.0</v>
      </c>
      <c r="J501" s="3" t="s">
        <v>57</v>
      </c>
      <c r="K501" s="16">
        <v>640.0</v>
      </c>
      <c r="L501" s="16"/>
    </row>
    <row r="502" ht="15.75" customHeight="1">
      <c r="A502" s="17" t="s">
        <v>16</v>
      </c>
      <c r="C502" s="20" t="s">
        <v>1029</v>
      </c>
      <c r="D502" s="4" t="s">
        <v>1030</v>
      </c>
      <c r="E502" s="4"/>
      <c r="F502" s="18" t="str">
        <f t="shared" si="35"/>
        <v>FOOD</v>
      </c>
      <c r="G502" s="18" t="s">
        <v>19</v>
      </c>
      <c r="H502" s="4" t="str">
        <f t="shared" si="3"/>
        <v>1000/LIT</v>
      </c>
      <c r="I502" s="18">
        <v>1000.0</v>
      </c>
      <c r="J502" s="3" t="s">
        <v>20</v>
      </c>
      <c r="K502" s="16">
        <v>1509.08</v>
      </c>
      <c r="L502" s="16"/>
    </row>
    <row r="503" ht="15.75" customHeight="1">
      <c r="A503" s="17" t="s">
        <v>16</v>
      </c>
      <c r="C503" s="4" t="s">
        <v>1031</v>
      </c>
      <c r="D503" s="4" t="s">
        <v>1032</v>
      </c>
      <c r="E503" s="4"/>
      <c r="F503" s="18" t="str">
        <f t="shared" si="35"/>
        <v>FOOD</v>
      </c>
      <c r="G503" s="18" t="s">
        <v>19</v>
      </c>
      <c r="H503" s="4" t="str">
        <f t="shared" si="3"/>
        <v>1000/LIT</v>
      </c>
      <c r="I503" s="4">
        <v>1000.0</v>
      </c>
      <c r="J503" s="3" t="s">
        <v>20</v>
      </c>
      <c r="K503" s="16">
        <v>136.52</v>
      </c>
      <c r="L503" s="16"/>
    </row>
    <row r="504" ht="15.75" customHeight="1">
      <c r="A504" s="17" t="s">
        <v>16</v>
      </c>
      <c r="C504" s="20" t="s">
        <v>1033</v>
      </c>
      <c r="D504" s="35" t="s">
        <v>1034</v>
      </c>
      <c r="E504" s="4"/>
      <c r="F504" s="18" t="str">
        <f t="shared" si="35"/>
        <v>FOOD</v>
      </c>
      <c r="G504" s="18" t="s">
        <v>19</v>
      </c>
      <c r="H504" s="4" t="str">
        <f t="shared" si="3"/>
        <v>1400/LITER</v>
      </c>
      <c r="I504" s="18">
        <v>1400.0</v>
      </c>
      <c r="J504" s="3" t="s">
        <v>1035</v>
      </c>
      <c r="K504" s="16">
        <v>109.65</v>
      </c>
      <c r="L504" s="16"/>
    </row>
    <row r="505" ht="15.75" customHeight="1">
      <c r="A505" s="17" t="s">
        <v>16</v>
      </c>
      <c r="C505" s="20" t="s">
        <v>1036</v>
      </c>
      <c r="D505" s="4" t="s">
        <v>1037</v>
      </c>
      <c r="E505" s="4"/>
      <c r="F505" s="18" t="str">
        <f t="shared" si="35"/>
        <v>FOOD</v>
      </c>
      <c r="G505" s="18" t="s">
        <v>19</v>
      </c>
      <c r="H505" s="4" t="str">
        <f t="shared" si="3"/>
        <v>1000/KG</v>
      </c>
      <c r="I505" s="4">
        <v>1000.0</v>
      </c>
      <c r="J505" s="3" t="s">
        <v>35</v>
      </c>
      <c r="K505" s="16">
        <v>141.75</v>
      </c>
      <c r="L505" s="16"/>
    </row>
    <row r="506" ht="15.75" customHeight="1">
      <c r="A506" s="17" t="s">
        <v>16</v>
      </c>
      <c r="C506" s="4" t="s">
        <v>1038</v>
      </c>
      <c r="D506" s="4" t="s">
        <v>1039</v>
      </c>
      <c r="E506" s="4"/>
      <c r="F506" s="18" t="str">
        <f t="shared" si="35"/>
        <v>FOOD</v>
      </c>
      <c r="G506" s="18" t="s">
        <v>19</v>
      </c>
      <c r="H506" s="4" t="str">
        <f t="shared" si="3"/>
        <v>1000/LIT</v>
      </c>
      <c r="I506" s="4">
        <v>1000.0</v>
      </c>
      <c r="J506" s="3" t="s">
        <v>20</v>
      </c>
      <c r="K506" s="16">
        <v>423.62</v>
      </c>
      <c r="L506" s="16"/>
    </row>
    <row r="507" ht="15.75" customHeight="1">
      <c r="A507" s="17" t="s">
        <v>16</v>
      </c>
      <c r="C507" s="20" t="s">
        <v>1040</v>
      </c>
      <c r="D507" s="4" t="s">
        <v>1041</v>
      </c>
      <c r="E507" s="4"/>
      <c r="F507" s="18" t="str">
        <f t="shared" si="35"/>
        <v>FOOD</v>
      </c>
      <c r="G507" s="18" t="s">
        <v>19</v>
      </c>
      <c r="H507" s="4" t="str">
        <f t="shared" si="3"/>
        <v>1000/LIT</v>
      </c>
      <c r="I507" s="4">
        <v>1000.0</v>
      </c>
      <c r="J507" s="3" t="s">
        <v>20</v>
      </c>
      <c r="K507" s="16">
        <v>346.7</v>
      </c>
      <c r="L507" s="16"/>
    </row>
    <row r="508" ht="15.75" customHeight="1">
      <c r="A508" s="17" t="s">
        <v>16</v>
      </c>
      <c r="C508" s="4" t="s">
        <v>1042</v>
      </c>
      <c r="D508" s="4" t="s">
        <v>1043</v>
      </c>
      <c r="E508" s="4"/>
      <c r="F508" s="18" t="str">
        <f t="shared" si="35"/>
        <v>FOOD</v>
      </c>
      <c r="G508" s="18" t="s">
        <v>19</v>
      </c>
      <c r="H508" s="4" t="str">
        <f t="shared" si="3"/>
        <v>1000/LIT</v>
      </c>
      <c r="I508" s="4">
        <v>1000.0</v>
      </c>
      <c r="J508" s="3" t="s">
        <v>20</v>
      </c>
      <c r="K508" s="16">
        <v>210.0</v>
      </c>
      <c r="L508" s="16"/>
    </row>
    <row r="509" ht="15.75" customHeight="1">
      <c r="A509" s="17" t="s">
        <v>16</v>
      </c>
      <c r="C509" s="20" t="s">
        <v>1044</v>
      </c>
      <c r="D509" s="20" t="s">
        <v>1045</v>
      </c>
      <c r="E509" s="4"/>
      <c r="F509" s="18" t="str">
        <f t="shared" si="35"/>
        <v>FOOD</v>
      </c>
      <c r="G509" s="18" t="s">
        <v>19</v>
      </c>
      <c r="H509" s="4" t="str">
        <f t="shared" si="3"/>
        <v>750/PC</v>
      </c>
      <c r="I509" s="4">
        <v>750.0</v>
      </c>
      <c r="J509" s="3" t="s">
        <v>42</v>
      </c>
      <c r="K509" s="16">
        <v>240.47</v>
      </c>
      <c r="L509" s="16"/>
    </row>
    <row r="510" ht="15.75" customHeight="1">
      <c r="A510" s="17" t="s">
        <v>16</v>
      </c>
      <c r="C510" s="4" t="s">
        <v>1046</v>
      </c>
      <c r="D510" s="4" t="s">
        <v>1047</v>
      </c>
      <c r="E510" s="4"/>
      <c r="F510" s="18" t="str">
        <f t="shared" si="35"/>
        <v>FOOD</v>
      </c>
      <c r="G510" s="18" t="s">
        <v>19</v>
      </c>
      <c r="H510" s="4" t="str">
        <f t="shared" si="3"/>
        <v>1000/LIT</v>
      </c>
      <c r="I510" s="4">
        <v>1000.0</v>
      </c>
      <c r="J510" s="3" t="s">
        <v>20</v>
      </c>
      <c r="K510" s="16">
        <f>187.25/3</f>
        <v>62.41666667</v>
      </c>
      <c r="L510" s="16"/>
    </row>
    <row r="511" ht="15.75" customHeight="1">
      <c r="A511" s="17" t="s">
        <v>16</v>
      </c>
      <c r="C511" s="4" t="s">
        <v>1048</v>
      </c>
      <c r="D511" s="4" t="s">
        <v>1049</v>
      </c>
      <c r="E511" s="4"/>
      <c r="F511" s="18" t="str">
        <f t="shared" si="35"/>
        <v>FOOD</v>
      </c>
      <c r="G511" s="18" t="s">
        <v>19</v>
      </c>
      <c r="H511" s="4" t="str">
        <f t="shared" si="3"/>
        <v>10/LOAF</v>
      </c>
      <c r="I511" s="28">
        <v>10.0</v>
      </c>
      <c r="J511" s="3" t="s">
        <v>171</v>
      </c>
      <c r="K511" s="16">
        <v>237.7</v>
      </c>
      <c r="L511" s="16"/>
    </row>
    <row r="512" ht="15.75" customHeight="1">
      <c r="A512" s="17" t="s">
        <v>16</v>
      </c>
      <c r="C512" s="4" t="s">
        <v>1050</v>
      </c>
      <c r="D512" s="4" t="s">
        <v>1051</v>
      </c>
      <c r="E512" s="4"/>
      <c r="F512" s="18" t="str">
        <f t="shared" si="35"/>
        <v>FOOD</v>
      </c>
      <c r="G512" s="18" t="s">
        <v>19</v>
      </c>
      <c r="H512" s="4" t="str">
        <f t="shared" si="3"/>
        <v>10/pack</v>
      </c>
      <c r="I512" s="4">
        <v>10.0</v>
      </c>
      <c r="J512" s="3" t="s">
        <v>134</v>
      </c>
      <c r="K512" s="16">
        <v>421.20000000000005</v>
      </c>
      <c r="L512" s="16"/>
    </row>
    <row r="513" ht="15.75" customHeight="1">
      <c r="A513" s="17" t="s">
        <v>16</v>
      </c>
      <c r="C513" s="20" t="s">
        <v>1052</v>
      </c>
      <c r="D513" s="4" t="s">
        <v>1053</v>
      </c>
      <c r="E513" s="4"/>
      <c r="F513" s="18" t="str">
        <f t="shared" si="35"/>
        <v>FOOD</v>
      </c>
      <c r="G513" s="18" t="s">
        <v>19</v>
      </c>
      <c r="H513" s="4" t="str">
        <f t="shared" si="3"/>
        <v>1000/KG</v>
      </c>
      <c r="I513" s="4">
        <v>1000.0</v>
      </c>
      <c r="J513" s="3" t="s">
        <v>35</v>
      </c>
      <c r="K513" s="16">
        <v>446.25</v>
      </c>
      <c r="L513" s="16"/>
    </row>
    <row r="514" ht="15.75" customHeight="1">
      <c r="A514" s="17" t="s">
        <v>16</v>
      </c>
      <c r="C514" s="4" t="s">
        <v>1054</v>
      </c>
      <c r="D514" s="4" t="s">
        <v>1055</v>
      </c>
      <c r="E514" s="4"/>
      <c r="F514" s="18" t="str">
        <f t="shared" si="35"/>
        <v>BEVERAGE</v>
      </c>
      <c r="G514" s="18" t="s">
        <v>54</v>
      </c>
      <c r="H514" s="4" t="str">
        <f t="shared" si="3"/>
        <v>1000/LIT</v>
      </c>
      <c r="I514" s="4">
        <v>1000.0</v>
      </c>
      <c r="J514" s="3" t="s">
        <v>20</v>
      </c>
      <c r="K514" s="16">
        <v>13.99</v>
      </c>
      <c r="L514" s="16"/>
    </row>
    <row r="515" ht="15.75" customHeight="1">
      <c r="A515" s="17" t="s">
        <v>16</v>
      </c>
      <c r="C515" s="4" t="s">
        <v>1056</v>
      </c>
      <c r="D515" s="4" t="s">
        <v>1057</v>
      </c>
      <c r="E515" s="4"/>
      <c r="F515" s="18" t="str">
        <f t="shared" si="35"/>
        <v>BEVERAGE</v>
      </c>
      <c r="G515" s="18" t="s">
        <v>54</v>
      </c>
      <c r="H515" s="4" t="str">
        <f t="shared" si="3"/>
        <v>1000/LIT</v>
      </c>
      <c r="I515" s="4">
        <v>1000.0</v>
      </c>
      <c r="J515" s="3" t="s">
        <v>20</v>
      </c>
      <c r="K515" s="16">
        <v>173.53</v>
      </c>
      <c r="L515" s="16"/>
    </row>
    <row r="516" ht="15.75" customHeight="1">
      <c r="A516" s="17" t="s">
        <v>16</v>
      </c>
      <c r="C516" s="4" t="s">
        <v>1058</v>
      </c>
      <c r="D516" s="4" t="s">
        <v>1059</v>
      </c>
      <c r="E516" s="4"/>
      <c r="F516" s="18" t="str">
        <f t="shared" si="35"/>
        <v>FOOD</v>
      </c>
      <c r="G516" s="18" t="s">
        <v>19</v>
      </c>
      <c r="H516" s="4" t="str">
        <f t="shared" si="3"/>
        <v>1000/KG</v>
      </c>
      <c r="I516" s="4">
        <v>1000.0</v>
      </c>
      <c r="J516" s="3" t="s">
        <v>35</v>
      </c>
      <c r="K516" s="16">
        <v>131.1</v>
      </c>
      <c r="L516" s="16"/>
    </row>
    <row r="517" ht="15.75" customHeight="1">
      <c r="A517" s="17" t="s">
        <v>16</v>
      </c>
      <c r="C517" s="4" t="s">
        <v>1060</v>
      </c>
      <c r="D517" s="4" t="s">
        <v>1061</v>
      </c>
      <c r="E517" s="4"/>
      <c r="F517" s="18" t="str">
        <f t="shared" si="35"/>
        <v>FOOD</v>
      </c>
      <c r="G517" s="18" t="s">
        <v>19</v>
      </c>
      <c r="H517" s="4" t="str">
        <f t="shared" si="3"/>
        <v>1000/LIT</v>
      </c>
      <c r="I517" s="4">
        <v>1000.0</v>
      </c>
      <c r="J517" s="3" t="s">
        <v>20</v>
      </c>
      <c r="K517" s="16">
        <v>418.79</v>
      </c>
      <c r="L517" s="16"/>
    </row>
    <row r="518" ht="15.75" customHeight="1">
      <c r="A518" s="17" t="s">
        <v>16</v>
      </c>
      <c r="C518" s="4" t="s">
        <v>1062</v>
      </c>
      <c r="D518" s="4" t="s">
        <v>1063</v>
      </c>
      <c r="E518" s="4"/>
      <c r="F518" s="18" t="str">
        <f t="shared" si="35"/>
        <v>FOOD</v>
      </c>
      <c r="G518" s="18" t="s">
        <v>19</v>
      </c>
      <c r="H518" s="4" t="str">
        <f t="shared" si="3"/>
        <v>1000/LIT</v>
      </c>
      <c r="I518" s="4">
        <v>1000.0</v>
      </c>
      <c r="J518" s="3" t="s">
        <v>20</v>
      </c>
      <c r="K518" s="16">
        <v>546.83</v>
      </c>
      <c r="L518" s="16"/>
    </row>
    <row r="519" ht="15.75" customHeight="1">
      <c r="A519" s="17" t="s">
        <v>16</v>
      </c>
      <c r="C519" s="4" t="s">
        <v>1064</v>
      </c>
      <c r="D519" s="4" t="s">
        <v>1065</v>
      </c>
      <c r="E519" s="4"/>
      <c r="F519" s="18" t="str">
        <f t="shared" si="35"/>
        <v>FOOD</v>
      </c>
      <c r="G519" s="18" t="s">
        <v>19</v>
      </c>
      <c r="H519" s="4" t="str">
        <f t="shared" si="3"/>
        <v>1000/LIT</v>
      </c>
      <c r="I519" s="4">
        <v>1000.0</v>
      </c>
      <c r="J519" s="3" t="s">
        <v>20</v>
      </c>
      <c r="K519" s="16">
        <v>284.25</v>
      </c>
      <c r="L519" s="16"/>
    </row>
    <row r="520" ht="15.75" customHeight="1">
      <c r="A520" s="17" t="s">
        <v>16</v>
      </c>
      <c r="C520" s="4" t="s">
        <v>1066</v>
      </c>
      <c r="D520" s="4" t="s">
        <v>1067</v>
      </c>
      <c r="E520" s="4"/>
      <c r="F520" s="18" t="str">
        <f t="shared" si="35"/>
        <v>FOOD</v>
      </c>
      <c r="G520" s="18" t="s">
        <v>19</v>
      </c>
      <c r="H520" s="4" t="str">
        <f t="shared" si="3"/>
        <v>1000/LIT</v>
      </c>
      <c r="I520" s="4">
        <v>1000.0</v>
      </c>
      <c r="J520" s="3" t="s">
        <v>20</v>
      </c>
      <c r="K520" s="16">
        <v>182.82</v>
      </c>
      <c r="L520" s="16"/>
    </row>
    <row r="521" ht="15.75" customHeight="1">
      <c r="A521" s="17" t="s">
        <v>16</v>
      </c>
      <c r="C521" s="20" t="s">
        <v>1068</v>
      </c>
      <c r="D521" s="4" t="s">
        <v>1069</v>
      </c>
      <c r="E521" s="4"/>
      <c r="F521" s="18" t="str">
        <f t="shared" si="35"/>
        <v>FOOD</v>
      </c>
      <c r="G521" s="18" t="s">
        <v>19</v>
      </c>
      <c r="H521" s="4" t="str">
        <f t="shared" si="3"/>
        <v>1000/LIT</v>
      </c>
      <c r="I521" s="18">
        <v>1000.0</v>
      </c>
      <c r="J521" s="3" t="s">
        <v>20</v>
      </c>
      <c r="K521" s="16">
        <v>380.0</v>
      </c>
      <c r="L521" s="16"/>
    </row>
    <row r="522" ht="15.75" customHeight="1">
      <c r="A522" s="17" t="s">
        <v>16</v>
      </c>
      <c r="C522" s="4" t="s">
        <v>1070</v>
      </c>
      <c r="D522" s="4" t="s">
        <v>1071</v>
      </c>
      <c r="E522" s="4"/>
      <c r="F522" s="18" t="str">
        <f t="shared" si="35"/>
        <v>FOOD</v>
      </c>
      <c r="G522" s="18" t="s">
        <v>19</v>
      </c>
      <c r="H522" s="4" t="str">
        <f t="shared" si="3"/>
        <v>10/PACK</v>
      </c>
      <c r="I522" s="4">
        <v>10.0</v>
      </c>
      <c r="J522" s="3" t="s">
        <v>23</v>
      </c>
      <c r="K522" s="16">
        <v>97.69999999999999</v>
      </c>
      <c r="L522" s="16"/>
    </row>
    <row r="523" ht="15.75" customHeight="1">
      <c r="A523" s="17" t="s">
        <v>16</v>
      </c>
      <c r="C523" s="20" t="s">
        <v>1072</v>
      </c>
      <c r="D523" s="4" t="s">
        <v>1073</v>
      </c>
      <c r="E523" s="4"/>
      <c r="F523" s="18" t="str">
        <f t="shared" si="35"/>
        <v>FOOD</v>
      </c>
      <c r="G523" s="18" t="s">
        <v>19</v>
      </c>
      <c r="H523" s="4" t="str">
        <f t="shared" si="3"/>
        <v>10/WHOLE</v>
      </c>
      <c r="I523" s="25">
        <v>10.0</v>
      </c>
      <c r="J523" s="19" t="s">
        <v>57</v>
      </c>
      <c r="K523" s="16">
        <v>677.7</v>
      </c>
      <c r="L523" s="16"/>
    </row>
    <row r="524" ht="15.75" customHeight="1">
      <c r="A524" s="17" t="s">
        <v>16</v>
      </c>
      <c r="C524" s="4" t="s">
        <v>1074</v>
      </c>
      <c r="D524" s="4" t="s">
        <v>1075</v>
      </c>
      <c r="E524" s="4"/>
      <c r="F524" s="18" t="str">
        <f t="shared" si="35"/>
        <v>FOOD</v>
      </c>
      <c r="G524" s="18" t="s">
        <v>19</v>
      </c>
      <c r="H524" s="4" t="str">
        <f t="shared" si="3"/>
        <v>8/PACK</v>
      </c>
      <c r="I524" s="4">
        <v>8.0</v>
      </c>
      <c r="J524" s="3" t="s">
        <v>23</v>
      </c>
      <c r="K524" s="16">
        <v>169.5</v>
      </c>
      <c r="L524" s="16"/>
    </row>
    <row r="525" ht="15.75" customHeight="1">
      <c r="A525" s="17" t="s">
        <v>16</v>
      </c>
      <c r="C525" s="4" t="s">
        <v>1076</v>
      </c>
      <c r="D525" s="4" t="s">
        <v>1077</v>
      </c>
      <c r="E525" s="4"/>
      <c r="F525" s="18" t="str">
        <f t="shared" si="35"/>
        <v>FOOD</v>
      </c>
      <c r="G525" s="18" t="s">
        <v>19</v>
      </c>
      <c r="H525" s="4" t="str">
        <f t="shared" si="3"/>
        <v>1000/KG</v>
      </c>
      <c r="I525" s="4">
        <v>1000.0</v>
      </c>
      <c r="J525" s="3" t="s">
        <v>35</v>
      </c>
      <c r="K525" s="16">
        <v>1960.28</v>
      </c>
      <c r="L525" s="16"/>
    </row>
    <row r="526" ht="15.75" customHeight="1">
      <c r="A526" s="17" t="s">
        <v>16</v>
      </c>
      <c r="C526" s="4" t="s">
        <v>1078</v>
      </c>
      <c r="D526" s="4" t="s">
        <v>1079</v>
      </c>
      <c r="E526" s="4"/>
      <c r="F526" s="18" t="str">
        <f t="shared" si="35"/>
        <v>FOOD</v>
      </c>
      <c r="G526" s="18" t="s">
        <v>19</v>
      </c>
      <c r="H526" s="4" t="str">
        <f t="shared" si="3"/>
        <v>1000/LIT</v>
      </c>
      <c r="I526" s="4">
        <v>1000.0</v>
      </c>
      <c r="J526" s="3" t="s">
        <v>20</v>
      </c>
      <c r="K526" s="16">
        <v>234.43</v>
      </c>
      <c r="L526" s="16"/>
    </row>
    <row r="527" ht="15.75" customHeight="1">
      <c r="A527" s="17" t="s">
        <v>16</v>
      </c>
      <c r="C527" s="20" t="s">
        <v>1080</v>
      </c>
      <c r="D527" s="3" t="s">
        <v>1081</v>
      </c>
      <c r="E527" s="4"/>
      <c r="F527" s="18" t="str">
        <f t="shared" si="35"/>
        <v>BEVERAGE</v>
      </c>
      <c r="G527" s="18" t="s">
        <v>54</v>
      </c>
      <c r="H527" s="4" t="str">
        <f t="shared" si="3"/>
        <v>750/LIT</v>
      </c>
      <c r="I527" s="4">
        <v>750.0</v>
      </c>
      <c r="J527" s="3" t="s">
        <v>20</v>
      </c>
      <c r="K527" s="16">
        <v>656.25</v>
      </c>
      <c r="L527" s="16"/>
    </row>
    <row r="528" ht="15.75" customHeight="1">
      <c r="A528" s="17" t="s">
        <v>16</v>
      </c>
      <c r="C528" s="20" t="s">
        <v>1082</v>
      </c>
      <c r="D528" s="4" t="s">
        <v>1083</v>
      </c>
      <c r="E528" s="4"/>
      <c r="F528" s="18" t="str">
        <f t="shared" si="35"/>
        <v>FOOD</v>
      </c>
      <c r="G528" s="18" t="s">
        <v>19</v>
      </c>
      <c r="H528" s="4" t="str">
        <f t="shared" si="3"/>
        <v>1000/LIT</v>
      </c>
      <c r="I528" s="18">
        <v>1000.0</v>
      </c>
      <c r="J528" s="3" t="s">
        <v>20</v>
      </c>
      <c r="K528" s="16">
        <v>430.1</v>
      </c>
      <c r="L528" s="16"/>
    </row>
    <row r="529" ht="15.75" customHeight="1">
      <c r="A529" s="17" t="s">
        <v>16</v>
      </c>
      <c r="C529" s="4" t="s">
        <v>1084</v>
      </c>
      <c r="D529" s="4" t="s">
        <v>1085</v>
      </c>
      <c r="E529" s="4"/>
      <c r="F529" s="18" t="str">
        <f t="shared" si="35"/>
        <v>FOOD</v>
      </c>
      <c r="G529" s="18" t="s">
        <v>19</v>
      </c>
      <c r="H529" s="4" t="str">
        <f t="shared" si="3"/>
        <v>6/PACK</v>
      </c>
      <c r="I529" s="18">
        <v>6.0</v>
      </c>
      <c r="J529" s="3" t="s">
        <v>23</v>
      </c>
      <c r="K529" s="16">
        <v>91.8</v>
      </c>
      <c r="L529" s="16"/>
    </row>
    <row r="530" ht="15.75" customHeight="1">
      <c r="A530" s="17" t="s">
        <v>16</v>
      </c>
      <c r="C530" s="20" t="s">
        <v>1086</v>
      </c>
      <c r="D530" s="3" t="s">
        <v>1087</v>
      </c>
      <c r="E530" s="4"/>
      <c r="F530" s="18" t="str">
        <f t="shared" si="35"/>
        <v>FOOD</v>
      </c>
      <c r="G530" s="18" t="s">
        <v>19</v>
      </c>
      <c r="H530" s="4" t="str">
        <f t="shared" si="3"/>
        <v>10/WHOLE</v>
      </c>
      <c r="I530" s="4">
        <v>10.0</v>
      </c>
      <c r="J530" s="3" t="s">
        <v>57</v>
      </c>
      <c r="K530" s="16">
        <v>590.6</v>
      </c>
      <c r="L530" s="16"/>
    </row>
    <row r="531" ht="15.75" customHeight="1">
      <c r="C531" s="20"/>
      <c r="D531" s="4"/>
      <c r="E531" s="4"/>
      <c r="F531" s="18"/>
      <c r="G531" s="18"/>
      <c r="H531" s="4" t="str">
        <f t="shared" si="3"/>
        <v>/</v>
      </c>
      <c r="I531" s="18"/>
      <c r="J531" s="3"/>
      <c r="K531" s="16"/>
      <c r="L531" s="16"/>
    </row>
    <row r="532" ht="15.75" customHeight="1">
      <c r="A532" s="2" t="s">
        <v>1088</v>
      </c>
      <c r="C532" s="20"/>
      <c r="F532" s="18"/>
      <c r="G532" s="18"/>
      <c r="H532" s="4" t="str">
        <f t="shared" si="3"/>
        <v>/</v>
      </c>
      <c r="I532" s="4"/>
      <c r="J532" s="3"/>
      <c r="K532" s="16"/>
      <c r="L532" s="16"/>
    </row>
    <row r="533" ht="15.75" customHeight="1">
      <c r="A533" s="17" t="s">
        <v>16</v>
      </c>
      <c r="C533" s="20" t="s">
        <v>1089</v>
      </c>
      <c r="D533" s="4" t="s">
        <v>1090</v>
      </c>
      <c r="E533" s="4"/>
      <c r="F533" s="18" t="s">
        <v>1091</v>
      </c>
      <c r="G533" s="18" t="s">
        <v>178</v>
      </c>
      <c r="H533" s="4" t="str">
        <f t="shared" si="3"/>
        <v>1/SET</v>
      </c>
      <c r="I533" s="18">
        <v>1.0</v>
      </c>
      <c r="J533" s="19" t="s">
        <v>1092</v>
      </c>
      <c r="K533" s="16">
        <v>699.1</v>
      </c>
      <c r="L533" s="16"/>
    </row>
    <row r="534" ht="15.75" customHeight="1">
      <c r="A534" s="17" t="s">
        <v>16</v>
      </c>
      <c r="C534" s="20" t="s">
        <v>1093</v>
      </c>
      <c r="D534" s="4" t="s">
        <v>1094</v>
      </c>
      <c r="E534" s="4"/>
      <c r="F534" s="18" t="s">
        <v>1091</v>
      </c>
      <c r="G534" s="18" t="s">
        <v>178</v>
      </c>
      <c r="H534" s="4" t="str">
        <f t="shared" si="3"/>
        <v>1/SET</v>
      </c>
      <c r="I534" s="18">
        <v>1.0</v>
      </c>
      <c r="J534" s="19" t="s">
        <v>1092</v>
      </c>
      <c r="K534" s="16">
        <v>227.2</v>
      </c>
      <c r="L534" s="16"/>
    </row>
    <row r="535" ht="15.75" customHeight="1">
      <c r="A535" s="17" t="s">
        <v>16</v>
      </c>
      <c r="C535" s="20" t="s">
        <v>1095</v>
      </c>
      <c r="D535" s="4" t="s">
        <v>1096</v>
      </c>
      <c r="E535" s="4"/>
      <c r="F535" s="18" t="s">
        <v>1091</v>
      </c>
      <c r="G535" s="18" t="s">
        <v>178</v>
      </c>
      <c r="H535" s="4" t="str">
        <f t="shared" si="3"/>
        <v>1/SET</v>
      </c>
      <c r="I535" s="18">
        <v>1.0</v>
      </c>
      <c r="J535" s="19" t="s">
        <v>1092</v>
      </c>
      <c r="K535" s="16">
        <v>639.39</v>
      </c>
      <c r="L535" s="16"/>
    </row>
    <row r="536" ht="15.75" customHeight="1">
      <c r="C536" s="20"/>
      <c r="D536" s="4"/>
      <c r="E536" s="4"/>
      <c r="F536" s="18"/>
      <c r="G536" s="18"/>
      <c r="H536" s="4" t="str">
        <f t="shared" si="3"/>
        <v>/</v>
      </c>
      <c r="I536" s="18"/>
      <c r="J536" s="19"/>
      <c r="K536" s="16"/>
      <c r="L536" s="16"/>
    </row>
    <row r="537" ht="15.75" customHeight="1">
      <c r="A537" s="2" t="s">
        <v>1097</v>
      </c>
      <c r="C537" s="20"/>
      <c r="F537" s="18"/>
      <c r="G537" s="18"/>
      <c r="H537" s="4" t="str">
        <f t="shared" si="3"/>
        <v>/</v>
      </c>
      <c r="I537" s="18"/>
      <c r="J537" s="19"/>
      <c r="K537" s="16"/>
      <c r="L537" s="16"/>
    </row>
    <row r="538" ht="15.75" customHeight="1">
      <c r="A538" s="17" t="s">
        <v>16</v>
      </c>
      <c r="C538" s="20" t="s">
        <v>1098</v>
      </c>
      <c r="D538" s="20" t="s">
        <v>1099</v>
      </c>
      <c r="E538" s="20"/>
      <c r="F538" s="18" t="s">
        <v>1091</v>
      </c>
      <c r="G538" s="18" t="s">
        <v>19</v>
      </c>
      <c r="H538" s="4" t="str">
        <f t="shared" si="3"/>
        <v>1/SERVING</v>
      </c>
      <c r="I538" s="33">
        <v>1.0</v>
      </c>
      <c r="J538" s="36" t="s">
        <v>1100</v>
      </c>
      <c r="K538" s="16">
        <v>102.87</v>
      </c>
      <c r="L538" s="16">
        <v>365.0</v>
      </c>
    </row>
    <row r="539" ht="15.75" customHeight="1">
      <c r="A539" s="17" t="s">
        <v>16</v>
      </c>
      <c r="C539" s="20" t="s">
        <v>1101</v>
      </c>
      <c r="D539" s="20" t="s">
        <v>1102</v>
      </c>
      <c r="E539" s="20"/>
      <c r="F539" s="18" t="s">
        <v>1091</v>
      </c>
      <c r="G539" s="18" t="s">
        <v>19</v>
      </c>
      <c r="H539" s="4" t="str">
        <f t="shared" si="3"/>
        <v>1/SERVING</v>
      </c>
      <c r="I539" s="33">
        <v>1.0</v>
      </c>
      <c r="J539" s="36" t="s">
        <v>1100</v>
      </c>
      <c r="K539" s="16">
        <v>94.44</v>
      </c>
      <c r="L539" s="16">
        <v>375.0</v>
      </c>
    </row>
    <row r="540" ht="15.75" customHeight="1">
      <c r="A540" s="17" t="s">
        <v>16</v>
      </c>
      <c r="C540" s="20" t="s">
        <v>1103</v>
      </c>
      <c r="D540" s="20" t="s">
        <v>1104</v>
      </c>
      <c r="E540" s="20"/>
      <c r="F540" s="18" t="s">
        <v>1091</v>
      </c>
      <c r="G540" s="18" t="s">
        <v>19</v>
      </c>
      <c r="H540" s="4" t="str">
        <f t="shared" si="3"/>
        <v>1/SERVING</v>
      </c>
      <c r="I540" s="33">
        <v>1.0</v>
      </c>
      <c r="J540" s="36" t="s">
        <v>1100</v>
      </c>
      <c r="K540" s="16">
        <v>144.37</v>
      </c>
      <c r="L540" s="16">
        <v>425.0</v>
      </c>
    </row>
    <row r="541" ht="15.75" customHeight="1">
      <c r="A541" s="17" t="s">
        <v>16</v>
      </c>
      <c r="C541" s="20" t="s">
        <v>1105</v>
      </c>
      <c r="D541" s="20" t="s">
        <v>1106</v>
      </c>
      <c r="E541" s="20"/>
      <c r="F541" s="18" t="s">
        <v>1091</v>
      </c>
      <c r="G541" s="18" t="s">
        <v>19</v>
      </c>
      <c r="H541" s="4" t="str">
        <f t="shared" si="3"/>
        <v>1/SERVING</v>
      </c>
      <c r="I541" s="33">
        <v>1.0</v>
      </c>
      <c r="J541" s="36" t="s">
        <v>1100</v>
      </c>
      <c r="K541" s="16">
        <v>131.86</v>
      </c>
      <c r="L541" s="16">
        <v>325.0</v>
      </c>
    </row>
    <row r="542" ht="15.75" customHeight="1">
      <c r="A542" s="17" t="s">
        <v>16</v>
      </c>
      <c r="C542" s="20" t="s">
        <v>1107</v>
      </c>
      <c r="D542" s="20" t="s">
        <v>1108</v>
      </c>
      <c r="E542" s="20"/>
      <c r="F542" s="18" t="s">
        <v>1091</v>
      </c>
      <c r="G542" s="18" t="s">
        <v>19</v>
      </c>
      <c r="H542" s="4" t="str">
        <f t="shared" si="3"/>
        <v>1/SERVING</v>
      </c>
      <c r="I542" s="33">
        <v>1.0</v>
      </c>
      <c r="J542" s="36" t="s">
        <v>1100</v>
      </c>
      <c r="K542" s="16">
        <v>119.86</v>
      </c>
      <c r="L542" s="16">
        <v>325.0</v>
      </c>
    </row>
    <row r="543" ht="15.75" customHeight="1">
      <c r="A543" s="17" t="s">
        <v>16</v>
      </c>
      <c r="C543" s="20" t="s">
        <v>98</v>
      </c>
      <c r="D543" s="20" t="s">
        <v>1109</v>
      </c>
      <c r="E543" s="20"/>
      <c r="F543" s="18" t="s">
        <v>1091</v>
      </c>
      <c r="G543" s="18" t="s">
        <v>19</v>
      </c>
      <c r="H543" s="4" t="str">
        <f t="shared" si="3"/>
        <v>1/SERVING</v>
      </c>
      <c r="I543" s="33">
        <v>1.0</v>
      </c>
      <c r="J543" s="36" t="s">
        <v>1100</v>
      </c>
      <c r="K543" s="16">
        <v>147.54</v>
      </c>
      <c r="L543" s="16">
        <v>575.0</v>
      </c>
    </row>
    <row r="544" ht="15.75" customHeight="1">
      <c r="A544" s="17" t="s">
        <v>16</v>
      </c>
      <c r="C544" s="20" t="s">
        <v>1110</v>
      </c>
      <c r="D544" s="20" t="s">
        <v>1111</v>
      </c>
      <c r="E544" s="20"/>
      <c r="F544" s="18" t="s">
        <v>1091</v>
      </c>
      <c r="G544" s="18" t="s">
        <v>19</v>
      </c>
      <c r="H544" s="4" t="str">
        <f t="shared" si="3"/>
        <v>1/SERVING</v>
      </c>
      <c r="I544" s="33">
        <v>1.0</v>
      </c>
      <c r="J544" s="36" t="s">
        <v>1100</v>
      </c>
      <c r="K544" s="16">
        <v>202.42</v>
      </c>
      <c r="L544" s="16">
        <v>595.0</v>
      </c>
    </row>
    <row r="545" ht="15.75" customHeight="1">
      <c r="A545" s="17" t="s">
        <v>16</v>
      </c>
      <c r="C545" s="20" t="s">
        <v>1112</v>
      </c>
      <c r="D545" s="20" t="s">
        <v>1113</v>
      </c>
      <c r="E545" s="20"/>
      <c r="F545" s="18" t="s">
        <v>1091</v>
      </c>
      <c r="G545" s="18" t="s">
        <v>19</v>
      </c>
      <c r="H545" s="4" t="str">
        <f t="shared" si="3"/>
        <v>1/SERVING</v>
      </c>
      <c r="I545" s="33">
        <v>1.0</v>
      </c>
      <c r="J545" s="36" t="s">
        <v>1100</v>
      </c>
      <c r="K545" s="16">
        <v>137.73</v>
      </c>
      <c r="L545" s="16">
        <v>375.0</v>
      </c>
    </row>
    <row r="546" ht="15.75" customHeight="1">
      <c r="A546" s="17" t="s">
        <v>16</v>
      </c>
      <c r="C546" s="20" t="s">
        <v>1114</v>
      </c>
      <c r="D546" s="20" t="s">
        <v>1115</v>
      </c>
      <c r="E546" s="20"/>
      <c r="F546" s="18" t="s">
        <v>1091</v>
      </c>
      <c r="G546" s="18" t="s">
        <v>19</v>
      </c>
      <c r="H546" s="4" t="str">
        <f t="shared" si="3"/>
        <v>1/SERVING</v>
      </c>
      <c r="I546" s="33">
        <v>1.0</v>
      </c>
      <c r="J546" s="36" t="s">
        <v>1100</v>
      </c>
      <c r="K546" s="16">
        <v>114.46</v>
      </c>
      <c r="L546" s="16">
        <v>375.0</v>
      </c>
    </row>
    <row r="547" ht="15.75" customHeight="1">
      <c r="A547" s="17" t="s">
        <v>16</v>
      </c>
      <c r="C547" s="20" t="s">
        <v>1116</v>
      </c>
      <c r="D547" s="20" t="s">
        <v>1117</v>
      </c>
      <c r="E547" s="20"/>
      <c r="F547" s="18" t="s">
        <v>1091</v>
      </c>
      <c r="G547" s="18" t="s">
        <v>19</v>
      </c>
      <c r="H547" s="4" t="str">
        <f t="shared" si="3"/>
        <v>1/SERVING</v>
      </c>
      <c r="I547" s="33">
        <v>1.0</v>
      </c>
      <c r="J547" s="36" t="s">
        <v>1100</v>
      </c>
      <c r="K547" s="16">
        <v>74.97</v>
      </c>
      <c r="L547" s="16">
        <v>355.0</v>
      </c>
    </row>
    <row r="548" ht="15.75" customHeight="1">
      <c r="A548" s="17" t="s">
        <v>16</v>
      </c>
      <c r="C548" s="20" t="s">
        <v>1118</v>
      </c>
      <c r="D548" s="20" t="s">
        <v>1119</v>
      </c>
      <c r="E548" s="20"/>
      <c r="F548" s="18" t="s">
        <v>1091</v>
      </c>
      <c r="G548" s="18" t="s">
        <v>19</v>
      </c>
      <c r="H548" s="4" t="str">
        <f t="shared" si="3"/>
        <v>1/SERVING</v>
      </c>
      <c r="I548" s="33">
        <v>1.0</v>
      </c>
      <c r="J548" s="36" t="s">
        <v>1100</v>
      </c>
      <c r="K548" s="16">
        <v>51.21</v>
      </c>
      <c r="L548" s="16">
        <v>195.0</v>
      </c>
    </row>
    <row r="549" ht="15.75" customHeight="1">
      <c r="A549" s="17" t="s">
        <v>16</v>
      </c>
      <c r="C549" s="20" t="s">
        <v>1120</v>
      </c>
      <c r="D549" s="20" t="s">
        <v>1121</v>
      </c>
      <c r="E549" s="20"/>
      <c r="F549" s="18" t="s">
        <v>1091</v>
      </c>
      <c r="G549" s="18" t="s">
        <v>19</v>
      </c>
      <c r="H549" s="4" t="str">
        <f t="shared" si="3"/>
        <v>1/SERVING</v>
      </c>
      <c r="I549" s="33">
        <v>1.0</v>
      </c>
      <c r="J549" s="36" t="s">
        <v>1100</v>
      </c>
      <c r="K549" s="16">
        <v>107.73</v>
      </c>
      <c r="L549" s="16">
        <v>295.0</v>
      </c>
    </row>
    <row r="550" ht="15.75" customHeight="1">
      <c r="A550" s="17" t="s">
        <v>16</v>
      </c>
      <c r="C550" s="20" t="s">
        <v>1122</v>
      </c>
      <c r="D550" s="20" t="s">
        <v>1123</v>
      </c>
      <c r="E550" s="20"/>
      <c r="F550" s="18" t="s">
        <v>1091</v>
      </c>
      <c r="G550" s="18" t="s">
        <v>19</v>
      </c>
      <c r="H550" s="4" t="str">
        <f t="shared" si="3"/>
        <v>1/SERVING</v>
      </c>
      <c r="I550" s="33">
        <v>1.0</v>
      </c>
      <c r="J550" s="36" t="s">
        <v>1100</v>
      </c>
      <c r="K550" s="16">
        <v>108.2</v>
      </c>
      <c r="L550" s="16">
        <v>395.0</v>
      </c>
    </row>
    <row r="551" ht="15.75" customHeight="1">
      <c r="A551" s="17" t="s">
        <v>16</v>
      </c>
      <c r="C551" s="20" t="s">
        <v>1124</v>
      </c>
      <c r="D551" s="20" t="s">
        <v>1125</v>
      </c>
      <c r="E551" s="20"/>
      <c r="F551" s="18" t="s">
        <v>1091</v>
      </c>
      <c r="G551" s="18" t="s">
        <v>19</v>
      </c>
      <c r="H551" s="4" t="str">
        <f t="shared" si="3"/>
        <v>1/SERVING</v>
      </c>
      <c r="I551" s="33">
        <v>1.0</v>
      </c>
      <c r="J551" s="36" t="s">
        <v>1100</v>
      </c>
      <c r="K551" s="16">
        <v>121.03</v>
      </c>
      <c r="L551" s="16">
        <v>425.0</v>
      </c>
    </row>
    <row r="552" ht="15.75" customHeight="1">
      <c r="A552" s="17" t="s">
        <v>16</v>
      </c>
      <c r="C552" s="20" t="s">
        <v>1126</v>
      </c>
      <c r="D552" s="20" t="s">
        <v>1127</v>
      </c>
      <c r="E552" s="20"/>
      <c r="F552" s="18" t="s">
        <v>1091</v>
      </c>
      <c r="G552" s="18" t="s">
        <v>19</v>
      </c>
      <c r="H552" s="4" t="str">
        <f t="shared" si="3"/>
        <v>1/SERVING</v>
      </c>
      <c r="I552" s="33">
        <v>1.0</v>
      </c>
      <c r="J552" s="36" t="s">
        <v>1100</v>
      </c>
      <c r="K552" s="16">
        <v>5.25</v>
      </c>
      <c r="L552" s="16"/>
    </row>
    <row r="553" ht="15.75" customHeight="1">
      <c r="A553" s="17" t="s">
        <v>16</v>
      </c>
      <c r="C553" s="20" t="s">
        <v>1128</v>
      </c>
      <c r="D553" s="20" t="s">
        <v>1129</v>
      </c>
      <c r="E553" s="20"/>
      <c r="F553" s="18" t="s">
        <v>1091</v>
      </c>
      <c r="G553" s="18" t="s">
        <v>19</v>
      </c>
      <c r="H553" s="4" t="str">
        <f t="shared" si="3"/>
        <v>1/SERVING</v>
      </c>
      <c r="I553" s="33">
        <v>1.0</v>
      </c>
      <c r="J553" s="36" t="s">
        <v>1100</v>
      </c>
      <c r="K553" s="16">
        <v>21.84</v>
      </c>
      <c r="L553" s="16"/>
    </row>
    <row r="554" ht="15.75" customHeight="1">
      <c r="A554" s="17" t="s">
        <v>16</v>
      </c>
      <c r="C554" s="20" t="s">
        <v>1130</v>
      </c>
      <c r="D554" s="20" t="s">
        <v>1131</v>
      </c>
      <c r="E554" s="20"/>
      <c r="F554" s="18" t="s">
        <v>1091</v>
      </c>
      <c r="G554" s="18" t="s">
        <v>19</v>
      </c>
      <c r="H554" s="4" t="str">
        <f t="shared" si="3"/>
        <v>1/SERVING</v>
      </c>
      <c r="I554" s="33">
        <v>1.0</v>
      </c>
      <c r="J554" s="36" t="s">
        <v>1100</v>
      </c>
      <c r="K554" s="16">
        <v>52.76</v>
      </c>
      <c r="L554" s="16"/>
    </row>
    <row r="555" ht="15.75" customHeight="1">
      <c r="A555" s="17" t="s">
        <v>16</v>
      </c>
      <c r="C555" s="20" t="s">
        <v>1132</v>
      </c>
      <c r="D555" s="20" t="s">
        <v>1133</v>
      </c>
      <c r="E555" s="20"/>
      <c r="F555" s="18" t="s">
        <v>1091</v>
      </c>
      <c r="G555" s="18" t="s">
        <v>19</v>
      </c>
      <c r="H555" s="4" t="str">
        <f t="shared" si="3"/>
        <v>1/SERVING</v>
      </c>
      <c r="I555" s="33">
        <v>1.0</v>
      </c>
      <c r="J555" s="36" t="s">
        <v>1100</v>
      </c>
      <c r="K555" s="16">
        <v>21.8</v>
      </c>
      <c r="L555" s="16"/>
    </row>
    <row r="556" ht="15.75" customHeight="1">
      <c r="A556" s="17" t="s">
        <v>16</v>
      </c>
      <c r="C556" s="20" t="s">
        <v>1134</v>
      </c>
      <c r="D556" s="20" t="s">
        <v>1135</v>
      </c>
      <c r="E556" s="20"/>
      <c r="F556" s="18" t="s">
        <v>1091</v>
      </c>
      <c r="G556" s="18" t="s">
        <v>19</v>
      </c>
      <c r="H556" s="4" t="str">
        <f t="shared" si="3"/>
        <v>1/SERVING</v>
      </c>
      <c r="I556" s="33">
        <v>1.0</v>
      </c>
      <c r="J556" s="36" t="s">
        <v>1100</v>
      </c>
      <c r="K556" s="16">
        <v>76.86</v>
      </c>
      <c r="L556" s="16">
        <v>195.0</v>
      </c>
    </row>
    <row r="557" ht="15.75" customHeight="1">
      <c r="A557" s="17" t="s">
        <v>16</v>
      </c>
      <c r="C557" s="20" t="s">
        <v>1136</v>
      </c>
      <c r="D557" s="20" t="s">
        <v>1137</v>
      </c>
      <c r="E557" s="20"/>
      <c r="F557" s="18" t="s">
        <v>1091</v>
      </c>
      <c r="G557" s="18" t="s">
        <v>19</v>
      </c>
      <c r="H557" s="4" t="str">
        <f t="shared" si="3"/>
        <v>1/SERVING</v>
      </c>
      <c r="I557" s="33">
        <v>1.0</v>
      </c>
      <c r="J557" s="36" t="s">
        <v>1100</v>
      </c>
      <c r="K557" s="16">
        <v>73.21</v>
      </c>
      <c r="L557" s="16">
        <v>295.0</v>
      </c>
    </row>
    <row r="558" ht="15.75" customHeight="1">
      <c r="A558" s="17" t="s">
        <v>16</v>
      </c>
      <c r="C558" s="20" t="s">
        <v>1138</v>
      </c>
      <c r="D558" s="20" t="s">
        <v>1139</v>
      </c>
      <c r="E558" s="20"/>
      <c r="F558" s="18" t="s">
        <v>1091</v>
      </c>
      <c r="G558" s="18" t="s">
        <v>19</v>
      </c>
      <c r="H558" s="4" t="str">
        <f t="shared" si="3"/>
        <v>1/SERVING</v>
      </c>
      <c r="I558" s="33">
        <v>1.0</v>
      </c>
      <c r="J558" s="36" t="s">
        <v>1100</v>
      </c>
      <c r="K558" s="16">
        <v>96.61</v>
      </c>
      <c r="L558" s="16">
        <v>295.0</v>
      </c>
    </row>
    <row r="559" ht="15.75" customHeight="1">
      <c r="A559" s="17" t="s">
        <v>16</v>
      </c>
      <c r="C559" s="20" t="s">
        <v>1140</v>
      </c>
      <c r="D559" s="20" t="s">
        <v>1141</v>
      </c>
      <c r="E559" s="20"/>
      <c r="F559" s="18" t="s">
        <v>1091</v>
      </c>
      <c r="G559" s="18" t="s">
        <v>19</v>
      </c>
      <c r="H559" s="4" t="str">
        <f t="shared" si="3"/>
        <v>1/SERVING</v>
      </c>
      <c r="I559" s="33">
        <v>1.0</v>
      </c>
      <c r="J559" s="36" t="s">
        <v>1100</v>
      </c>
      <c r="K559" s="16">
        <v>76.97</v>
      </c>
      <c r="L559" s="16">
        <v>295.0</v>
      </c>
    </row>
    <row r="560" ht="15.75" customHeight="1">
      <c r="A560" s="17" t="s">
        <v>16</v>
      </c>
      <c r="C560" s="20" t="s">
        <v>1142</v>
      </c>
      <c r="D560" s="20" t="s">
        <v>1143</v>
      </c>
      <c r="E560" s="20"/>
      <c r="F560" s="18" t="s">
        <v>1091</v>
      </c>
      <c r="G560" s="18" t="s">
        <v>19</v>
      </c>
      <c r="H560" s="4" t="str">
        <f t="shared" si="3"/>
        <v>1/SERVING</v>
      </c>
      <c r="I560" s="33">
        <v>1.0</v>
      </c>
      <c r="J560" s="36" t="s">
        <v>1100</v>
      </c>
      <c r="K560" s="16">
        <v>79.29</v>
      </c>
      <c r="L560" s="16">
        <v>295.0</v>
      </c>
    </row>
    <row r="561" ht="15.75" customHeight="1">
      <c r="A561" s="17" t="s">
        <v>16</v>
      </c>
      <c r="C561" s="20" t="s">
        <v>1144</v>
      </c>
      <c r="D561" s="20" t="s">
        <v>1145</v>
      </c>
      <c r="E561" s="20"/>
      <c r="F561" s="18" t="s">
        <v>1091</v>
      </c>
      <c r="G561" s="18" t="s">
        <v>19</v>
      </c>
      <c r="H561" s="4" t="str">
        <f t="shared" si="3"/>
        <v>1/SERVING</v>
      </c>
      <c r="I561" s="33">
        <v>1.0</v>
      </c>
      <c r="J561" s="36" t="s">
        <v>1100</v>
      </c>
      <c r="K561" s="16">
        <v>103.35</v>
      </c>
      <c r="L561" s="16">
        <v>325.0</v>
      </c>
    </row>
    <row r="562" ht="15.75" customHeight="1">
      <c r="A562" s="17" t="s">
        <v>16</v>
      </c>
      <c r="C562" s="20" t="s">
        <v>1146</v>
      </c>
      <c r="D562" s="20" t="s">
        <v>1147</v>
      </c>
      <c r="E562" s="20"/>
      <c r="F562" s="18" t="s">
        <v>1091</v>
      </c>
      <c r="G562" s="18" t="s">
        <v>19</v>
      </c>
      <c r="H562" s="4" t="str">
        <f t="shared" si="3"/>
        <v>1/SERVING</v>
      </c>
      <c r="I562" s="33">
        <v>1.0</v>
      </c>
      <c r="J562" s="36" t="s">
        <v>1100</v>
      </c>
      <c r="K562" s="16">
        <v>89.05</v>
      </c>
      <c r="L562" s="16">
        <v>395.0</v>
      </c>
    </row>
    <row r="563" ht="15.75" customHeight="1">
      <c r="A563" s="17" t="s">
        <v>16</v>
      </c>
      <c r="C563" s="20" t="s">
        <v>1148</v>
      </c>
      <c r="D563" s="20" t="s">
        <v>1149</v>
      </c>
      <c r="E563" s="20"/>
      <c r="F563" s="18" t="s">
        <v>1091</v>
      </c>
      <c r="G563" s="18" t="s">
        <v>19</v>
      </c>
      <c r="H563" s="4" t="str">
        <f t="shared" si="3"/>
        <v>1/SERVING</v>
      </c>
      <c r="I563" s="33">
        <v>1.0</v>
      </c>
      <c r="J563" s="36" t="s">
        <v>1100</v>
      </c>
      <c r="K563" s="16">
        <v>53.03</v>
      </c>
      <c r="L563" s="16">
        <v>195.0</v>
      </c>
    </row>
    <row r="564" ht="15.75" customHeight="1">
      <c r="A564" s="17" t="s">
        <v>16</v>
      </c>
      <c r="C564" s="20" t="s">
        <v>1150</v>
      </c>
      <c r="D564" s="20" t="s">
        <v>1151</v>
      </c>
      <c r="E564" s="20"/>
      <c r="F564" s="18" t="s">
        <v>1091</v>
      </c>
      <c r="G564" s="18" t="s">
        <v>19</v>
      </c>
      <c r="H564" s="4" t="str">
        <f t="shared" si="3"/>
        <v>1/SERVING</v>
      </c>
      <c r="I564" s="33">
        <v>1.0</v>
      </c>
      <c r="J564" s="36" t="s">
        <v>1100</v>
      </c>
      <c r="K564" s="16">
        <v>94.55</v>
      </c>
      <c r="L564" s="16">
        <v>345.0</v>
      </c>
    </row>
    <row r="565" ht="15.75" customHeight="1">
      <c r="A565" s="17" t="s">
        <v>16</v>
      </c>
      <c r="C565" s="20" t="s">
        <v>1152</v>
      </c>
      <c r="D565" s="20" t="s">
        <v>1153</v>
      </c>
      <c r="E565" s="20"/>
      <c r="F565" s="18" t="s">
        <v>1091</v>
      </c>
      <c r="G565" s="18" t="s">
        <v>19</v>
      </c>
      <c r="H565" s="4" t="str">
        <f t="shared" si="3"/>
        <v>1/SERVING</v>
      </c>
      <c r="I565" s="33">
        <v>1.0</v>
      </c>
      <c r="J565" s="36" t="s">
        <v>1100</v>
      </c>
      <c r="K565" s="16">
        <v>130.44</v>
      </c>
      <c r="L565" s="16">
        <v>425.0</v>
      </c>
    </row>
    <row r="566" ht="15.75" customHeight="1">
      <c r="A566" s="17" t="s">
        <v>16</v>
      </c>
      <c r="C566" s="20" t="s">
        <v>840</v>
      </c>
      <c r="D566" s="20" t="s">
        <v>1154</v>
      </c>
      <c r="E566" s="20"/>
      <c r="F566" s="18" t="s">
        <v>1091</v>
      </c>
      <c r="G566" s="18" t="s">
        <v>19</v>
      </c>
      <c r="H566" s="4" t="str">
        <f t="shared" si="3"/>
        <v>1/SERVING</v>
      </c>
      <c r="I566" s="33">
        <v>1.0</v>
      </c>
      <c r="J566" s="36" t="s">
        <v>1100</v>
      </c>
      <c r="K566" s="16">
        <v>65.14</v>
      </c>
      <c r="L566" s="16">
        <v>295.0</v>
      </c>
    </row>
    <row r="567" ht="15.75" customHeight="1">
      <c r="A567" s="17" t="s">
        <v>16</v>
      </c>
      <c r="C567" s="20" t="s">
        <v>1155</v>
      </c>
      <c r="D567" s="20" t="s">
        <v>1156</v>
      </c>
      <c r="E567" s="20"/>
      <c r="F567" s="18" t="s">
        <v>1091</v>
      </c>
      <c r="G567" s="18" t="s">
        <v>19</v>
      </c>
      <c r="H567" s="4" t="str">
        <f t="shared" si="3"/>
        <v>1/SERVING</v>
      </c>
      <c r="I567" s="33">
        <v>1.0</v>
      </c>
      <c r="J567" s="36" t="s">
        <v>1100</v>
      </c>
      <c r="K567" s="16">
        <v>53.62</v>
      </c>
      <c r="L567" s="16">
        <v>295.0</v>
      </c>
    </row>
    <row r="568" ht="15.75" customHeight="1">
      <c r="A568" s="17" t="s">
        <v>16</v>
      </c>
      <c r="C568" s="20" t="s">
        <v>1157</v>
      </c>
      <c r="D568" s="20" t="s">
        <v>1158</v>
      </c>
      <c r="E568" s="20"/>
      <c r="F568" s="18" t="s">
        <v>1091</v>
      </c>
      <c r="G568" s="18" t="s">
        <v>19</v>
      </c>
      <c r="H568" s="4" t="str">
        <f t="shared" si="3"/>
        <v>1/SERVING</v>
      </c>
      <c r="I568" s="33">
        <v>1.0</v>
      </c>
      <c r="J568" s="36" t="s">
        <v>1100</v>
      </c>
      <c r="K568" s="16">
        <v>93.14</v>
      </c>
      <c r="L568" s="16">
        <v>385.0</v>
      </c>
    </row>
    <row r="569" ht="15.75" customHeight="1">
      <c r="A569" s="17" t="s">
        <v>16</v>
      </c>
      <c r="C569" s="20" t="s">
        <v>1159</v>
      </c>
      <c r="D569" s="20" t="s">
        <v>1160</v>
      </c>
      <c r="E569" s="20"/>
      <c r="F569" s="18" t="s">
        <v>1091</v>
      </c>
      <c r="G569" s="18" t="s">
        <v>19</v>
      </c>
      <c r="H569" s="4" t="str">
        <f t="shared" si="3"/>
        <v>1/SERVING</v>
      </c>
      <c r="I569" s="33">
        <v>1.0</v>
      </c>
      <c r="J569" s="36" t="s">
        <v>1100</v>
      </c>
      <c r="K569" s="16">
        <v>69.37</v>
      </c>
      <c r="L569" s="16">
        <v>385.0</v>
      </c>
    </row>
    <row r="570" ht="15.75" customHeight="1">
      <c r="A570" s="17" t="s">
        <v>16</v>
      </c>
      <c r="C570" s="20" t="s">
        <v>1161</v>
      </c>
      <c r="D570" s="20" t="s">
        <v>1162</v>
      </c>
      <c r="E570" s="20"/>
      <c r="F570" s="18" t="s">
        <v>1091</v>
      </c>
      <c r="G570" s="18" t="s">
        <v>19</v>
      </c>
      <c r="H570" s="4" t="str">
        <f t="shared" si="3"/>
        <v>1/SERVING</v>
      </c>
      <c r="I570" s="33">
        <v>1.0</v>
      </c>
      <c r="J570" s="36" t="s">
        <v>1100</v>
      </c>
      <c r="K570" s="16">
        <v>260.88</v>
      </c>
      <c r="L570" s="16"/>
    </row>
    <row r="571" ht="15.75" customHeight="1">
      <c r="A571" s="17" t="s">
        <v>16</v>
      </c>
      <c r="C571" s="20" t="s">
        <v>1163</v>
      </c>
      <c r="D571" s="20" t="s">
        <v>1164</v>
      </c>
      <c r="E571" s="20"/>
      <c r="F571" s="18" t="s">
        <v>1091</v>
      </c>
      <c r="G571" s="18" t="s">
        <v>19</v>
      </c>
      <c r="H571" s="4" t="str">
        <f t="shared" si="3"/>
        <v>1/SERVING</v>
      </c>
      <c r="I571" s="33">
        <v>1.0</v>
      </c>
      <c r="J571" s="36" t="s">
        <v>1100</v>
      </c>
      <c r="K571" s="16">
        <v>180.92</v>
      </c>
      <c r="L571" s="16"/>
    </row>
    <row r="572" ht="15.75" customHeight="1">
      <c r="A572" s="17" t="s">
        <v>16</v>
      </c>
      <c r="C572" s="20" t="s">
        <v>1165</v>
      </c>
      <c r="D572" s="20" t="s">
        <v>1166</v>
      </c>
      <c r="E572" s="20"/>
      <c r="F572" s="18" t="s">
        <v>1091</v>
      </c>
      <c r="G572" s="18" t="s">
        <v>19</v>
      </c>
      <c r="H572" s="4" t="str">
        <f t="shared" si="3"/>
        <v>1/SERVING</v>
      </c>
      <c r="I572" s="33">
        <v>1.0</v>
      </c>
      <c r="J572" s="36" t="s">
        <v>1100</v>
      </c>
      <c r="K572" s="16">
        <v>189.09</v>
      </c>
      <c r="L572" s="16"/>
    </row>
    <row r="573" ht="15.75" customHeight="1">
      <c r="A573" s="17" t="s">
        <v>16</v>
      </c>
      <c r="C573" s="20" t="s">
        <v>1167</v>
      </c>
      <c r="D573" s="20" t="s">
        <v>1168</v>
      </c>
      <c r="E573" s="20"/>
      <c r="F573" s="18" t="s">
        <v>1091</v>
      </c>
      <c r="G573" s="18" t="s">
        <v>19</v>
      </c>
      <c r="H573" s="4" t="str">
        <f t="shared" si="3"/>
        <v>1/SERVING</v>
      </c>
      <c r="I573" s="33">
        <v>1.0</v>
      </c>
      <c r="J573" s="36" t="s">
        <v>1100</v>
      </c>
      <c r="K573" s="16">
        <v>35.77</v>
      </c>
      <c r="L573" s="16">
        <v>145.0</v>
      </c>
    </row>
    <row r="574" ht="15.75" customHeight="1">
      <c r="A574" s="17" t="s">
        <v>16</v>
      </c>
      <c r="C574" s="20" t="s">
        <v>1132</v>
      </c>
      <c r="D574" s="20" t="s">
        <v>1169</v>
      </c>
      <c r="E574" s="20"/>
      <c r="F574" s="18" t="s">
        <v>1091</v>
      </c>
      <c r="G574" s="18" t="s">
        <v>19</v>
      </c>
      <c r="H574" s="4" t="str">
        <f t="shared" si="3"/>
        <v>1/SERVING</v>
      </c>
      <c r="I574" s="33">
        <v>1.0</v>
      </c>
      <c r="J574" s="36" t="s">
        <v>1100</v>
      </c>
      <c r="K574" s="16">
        <v>21.8</v>
      </c>
      <c r="L574" s="16">
        <v>125.0</v>
      </c>
    </row>
    <row r="575" ht="15.75" customHeight="1">
      <c r="A575" s="17" t="s">
        <v>16</v>
      </c>
      <c r="C575" s="20" t="s">
        <v>834</v>
      </c>
      <c r="D575" s="20" t="s">
        <v>1170</v>
      </c>
      <c r="E575" s="20"/>
      <c r="F575" s="18" t="s">
        <v>1091</v>
      </c>
      <c r="G575" s="18" t="s">
        <v>19</v>
      </c>
      <c r="H575" s="4" t="str">
        <f t="shared" si="3"/>
        <v>1/SERVING</v>
      </c>
      <c r="I575" s="33">
        <v>1.0</v>
      </c>
      <c r="J575" s="36" t="s">
        <v>1100</v>
      </c>
      <c r="K575" s="16">
        <v>219.41</v>
      </c>
      <c r="L575" s="16">
        <v>675.0</v>
      </c>
    </row>
    <row r="576" ht="15.75" customHeight="1">
      <c r="A576" s="17" t="s">
        <v>16</v>
      </c>
      <c r="C576" s="20" t="s">
        <v>1171</v>
      </c>
      <c r="D576" s="20" t="s">
        <v>1172</v>
      </c>
      <c r="E576" s="20"/>
      <c r="F576" s="18" t="s">
        <v>1091</v>
      </c>
      <c r="G576" s="18" t="s">
        <v>19</v>
      </c>
      <c r="H576" s="4" t="str">
        <f t="shared" si="3"/>
        <v>1/SERVING</v>
      </c>
      <c r="I576" s="33">
        <v>1.0</v>
      </c>
      <c r="J576" s="36" t="s">
        <v>1100</v>
      </c>
      <c r="K576" s="16">
        <v>154.56</v>
      </c>
      <c r="L576" s="16">
        <v>495.0</v>
      </c>
    </row>
    <row r="577" ht="15.75" customHeight="1">
      <c r="A577" s="17" t="s">
        <v>16</v>
      </c>
      <c r="C577" s="20" t="s">
        <v>1173</v>
      </c>
      <c r="D577" s="20" t="s">
        <v>1174</v>
      </c>
      <c r="E577" s="20"/>
      <c r="F577" s="18" t="s">
        <v>1091</v>
      </c>
      <c r="G577" s="18" t="s">
        <v>19</v>
      </c>
      <c r="H577" s="4" t="str">
        <f t="shared" si="3"/>
        <v>1/SERVING</v>
      </c>
      <c r="I577" s="33">
        <v>1.0</v>
      </c>
      <c r="J577" s="36" t="s">
        <v>1100</v>
      </c>
      <c r="K577" s="16">
        <v>100.89</v>
      </c>
      <c r="L577" s="16">
        <v>395.0</v>
      </c>
    </row>
    <row r="578" ht="15.75" customHeight="1">
      <c r="A578" s="17" t="s">
        <v>16</v>
      </c>
      <c r="C578" s="20" t="s">
        <v>1175</v>
      </c>
      <c r="D578" s="20" t="s">
        <v>1176</v>
      </c>
      <c r="E578" s="20"/>
      <c r="F578" s="18" t="s">
        <v>1091</v>
      </c>
      <c r="G578" s="18" t="s">
        <v>19</v>
      </c>
      <c r="H578" s="4" t="str">
        <f t="shared" si="3"/>
        <v>1/SERVING</v>
      </c>
      <c r="I578" s="33">
        <v>1.0</v>
      </c>
      <c r="J578" s="36" t="s">
        <v>1100</v>
      </c>
      <c r="K578" s="16">
        <v>107.18</v>
      </c>
      <c r="L578" s="16">
        <v>395.0</v>
      </c>
    </row>
    <row r="579" ht="15.75" customHeight="1">
      <c r="A579" s="17" t="s">
        <v>16</v>
      </c>
      <c r="C579" s="20" t="s">
        <v>1177</v>
      </c>
      <c r="D579" s="20" t="s">
        <v>1178</v>
      </c>
      <c r="E579" s="20"/>
      <c r="F579" s="18" t="s">
        <v>1091</v>
      </c>
      <c r="G579" s="18" t="s">
        <v>19</v>
      </c>
      <c r="H579" s="4" t="str">
        <f t="shared" si="3"/>
        <v>1/SERVING</v>
      </c>
      <c r="I579" s="33">
        <v>1.0</v>
      </c>
      <c r="J579" s="36" t="s">
        <v>1100</v>
      </c>
      <c r="K579" s="16">
        <v>104.66</v>
      </c>
      <c r="L579" s="16">
        <v>395.0</v>
      </c>
    </row>
    <row r="580" ht="15.75" customHeight="1">
      <c r="A580" s="17" t="s">
        <v>16</v>
      </c>
      <c r="C580" s="20" t="s">
        <v>1179</v>
      </c>
      <c r="D580" s="20" t="s">
        <v>1180</v>
      </c>
      <c r="E580" s="20"/>
      <c r="F580" s="18" t="s">
        <v>1091</v>
      </c>
      <c r="G580" s="18" t="s">
        <v>19</v>
      </c>
      <c r="H580" s="4" t="str">
        <f t="shared" si="3"/>
        <v>1/SERVING</v>
      </c>
      <c r="I580" s="33">
        <v>1.0</v>
      </c>
      <c r="J580" s="36" t="s">
        <v>1100</v>
      </c>
      <c r="K580" s="16">
        <v>124.36</v>
      </c>
      <c r="L580" s="16">
        <v>395.0</v>
      </c>
    </row>
    <row r="581" ht="15.75" customHeight="1">
      <c r="A581" s="17" t="s">
        <v>16</v>
      </c>
      <c r="C581" s="20" t="s">
        <v>1181</v>
      </c>
      <c r="D581" s="20" t="s">
        <v>1182</v>
      </c>
      <c r="E581" s="20"/>
      <c r="F581" s="18" t="s">
        <v>1091</v>
      </c>
      <c r="G581" s="18" t="s">
        <v>19</v>
      </c>
      <c r="H581" s="4" t="str">
        <f t="shared" si="3"/>
        <v>1/SERVING</v>
      </c>
      <c r="I581" s="33">
        <v>1.0</v>
      </c>
      <c r="J581" s="36" t="s">
        <v>1100</v>
      </c>
      <c r="K581" s="16">
        <v>104.06</v>
      </c>
      <c r="L581" s="16">
        <v>425.0</v>
      </c>
    </row>
    <row r="582" ht="15.75" customHeight="1">
      <c r="A582" s="17" t="s">
        <v>16</v>
      </c>
      <c r="C582" s="20" t="s">
        <v>1183</v>
      </c>
      <c r="D582" s="20" t="s">
        <v>1184</v>
      </c>
      <c r="E582" s="20"/>
      <c r="F582" s="18" t="s">
        <v>1091</v>
      </c>
      <c r="G582" s="18" t="s">
        <v>19</v>
      </c>
      <c r="H582" s="4" t="str">
        <f t="shared" si="3"/>
        <v>1/SERVING</v>
      </c>
      <c r="I582" s="33">
        <v>1.0</v>
      </c>
      <c r="J582" s="36" t="s">
        <v>1100</v>
      </c>
      <c r="K582" s="16">
        <v>121.5</v>
      </c>
      <c r="L582" s="16">
        <v>425.0</v>
      </c>
    </row>
    <row r="583" ht="15.75" customHeight="1">
      <c r="A583" s="17" t="s">
        <v>16</v>
      </c>
      <c r="C583" s="20" t="s">
        <v>1185</v>
      </c>
      <c r="D583" s="20" t="s">
        <v>1186</v>
      </c>
      <c r="E583" s="20"/>
      <c r="F583" s="18" t="s">
        <v>1091</v>
      </c>
      <c r="G583" s="18" t="s">
        <v>19</v>
      </c>
      <c r="H583" s="4" t="str">
        <f t="shared" si="3"/>
        <v>1/SERVING</v>
      </c>
      <c r="I583" s="33">
        <v>1.0</v>
      </c>
      <c r="J583" s="36" t="s">
        <v>1100</v>
      </c>
      <c r="K583" s="16">
        <v>118.99</v>
      </c>
      <c r="L583" s="16">
        <v>425.0</v>
      </c>
    </row>
    <row r="584" ht="15.75" customHeight="1">
      <c r="A584" s="17" t="s">
        <v>16</v>
      </c>
      <c r="C584" s="20" t="s">
        <v>1187</v>
      </c>
      <c r="D584" s="20" t="s">
        <v>1188</v>
      </c>
      <c r="E584" s="20"/>
      <c r="F584" s="18" t="s">
        <v>1091</v>
      </c>
      <c r="G584" s="18" t="s">
        <v>19</v>
      </c>
      <c r="H584" s="4" t="str">
        <f t="shared" si="3"/>
        <v>1/SERVING</v>
      </c>
      <c r="I584" s="33">
        <v>1.0</v>
      </c>
      <c r="J584" s="36" t="s">
        <v>1100</v>
      </c>
      <c r="K584" s="16">
        <v>122.97</v>
      </c>
      <c r="L584" s="16">
        <v>425.0</v>
      </c>
    </row>
    <row r="585" ht="15.75" customHeight="1">
      <c r="A585" s="17" t="s">
        <v>16</v>
      </c>
      <c r="C585" s="20" t="s">
        <v>1189</v>
      </c>
      <c r="D585" s="20" t="s">
        <v>1190</v>
      </c>
      <c r="E585" s="20"/>
      <c r="F585" s="18" t="s">
        <v>1091</v>
      </c>
      <c r="G585" s="18" t="s">
        <v>19</v>
      </c>
      <c r="H585" s="4" t="str">
        <f t="shared" si="3"/>
        <v>1/SERVING</v>
      </c>
      <c r="I585" s="33">
        <v>1.0</v>
      </c>
      <c r="J585" s="36" t="s">
        <v>1100</v>
      </c>
      <c r="K585" s="16">
        <v>234.98</v>
      </c>
      <c r="L585" s="16">
        <v>595.0</v>
      </c>
    </row>
    <row r="586" ht="15.75" customHeight="1">
      <c r="A586" s="17" t="s">
        <v>16</v>
      </c>
      <c r="C586" s="20" t="s">
        <v>1191</v>
      </c>
      <c r="D586" s="20" t="s">
        <v>1192</v>
      </c>
      <c r="E586" s="20"/>
      <c r="F586" s="18" t="s">
        <v>1091</v>
      </c>
      <c r="G586" s="18" t="s">
        <v>19</v>
      </c>
      <c r="H586" s="4" t="str">
        <f t="shared" si="3"/>
        <v>1/SERVING</v>
      </c>
      <c r="I586" s="33">
        <v>1.0</v>
      </c>
      <c r="J586" s="36" t="s">
        <v>1100</v>
      </c>
      <c r="K586" s="16">
        <v>145.46</v>
      </c>
      <c r="L586" s="16">
        <v>625.0</v>
      </c>
    </row>
    <row r="587" ht="15.75" customHeight="1">
      <c r="A587" s="17" t="s">
        <v>16</v>
      </c>
      <c r="C587" s="20" t="s">
        <v>1193</v>
      </c>
      <c r="D587" s="20" t="s">
        <v>1194</v>
      </c>
      <c r="E587" s="20"/>
      <c r="F587" s="18" t="s">
        <v>1091</v>
      </c>
      <c r="G587" s="18" t="s">
        <v>19</v>
      </c>
      <c r="H587" s="4" t="str">
        <f t="shared" si="3"/>
        <v>1/SERVING</v>
      </c>
      <c r="I587" s="33">
        <v>1.0</v>
      </c>
      <c r="J587" s="36" t="s">
        <v>1100</v>
      </c>
      <c r="K587" s="16">
        <v>214.91</v>
      </c>
      <c r="L587" s="16">
        <v>625.0</v>
      </c>
    </row>
    <row r="588" ht="15.75" customHeight="1">
      <c r="A588" s="17" t="s">
        <v>16</v>
      </c>
      <c r="C588" s="20" t="s">
        <v>1195</v>
      </c>
      <c r="D588" s="20" t="s">
        <v>1196</v>
      </c>
      <c r="E588" s="20"/>
      <c r="F588" s="18" t="s">
        <v>1091</v>
      </c>
      <c r="G588" s="18" t="s">
        <v>19</v>
      </c>
      <c r="H588" s="4" t="str">
        <f t="shared" si="3"/>
        <v>1/SERVING</v>
      </c>
      <c r="I588" s="33">
        <v>1.0</v>
      </c>
      <c r="J588" s="36" t="s">
        <v>1100</v>
      </c>
      <c r="K588" s="16">
        <v>158.78</v>
      </c>
      <c r="L588" s="16">
        <v>595.0</v>
      </c>
    </row>
    <row r="589" ht="15.75" customHeight="1">
      <c r="A589" s="17" t="s">
        <v>16</v>
      </c>
      <c r="C589" s="20" t="s">
        <v>1197</v>
      </c>
      <c r="D589" s="20" t="s">
        <v>1198</v>
      </c>
      <c r="E589" s="20"/>
      <c r="F589" s="18" t="s">
        <v>1091</v>
      </c>
      <c r="G589" s="18" t="s">
        <v>19</v>
      </c>
      <c r="H589" s="4" t="str">
        <f t="shared" si="3"/>
        <v>1/SERVING</v>
      </c>
      <c r="I589" s="33">
        <v>1.0</v>
      </c>
      <c r="J589" s="36" t="s">
        <v>1100</v>
      </c>
      <c r="K589" s="16">
        <v>117.61</v>
      </c>
      <c r="L589" s="16">
        <v>625.0</v>
      </c>
    </row>
    <row r="590" ht="15.75" customHeight="1">
      <c r="A590" s="17" t="s">
        <v>16</v>
      </c>
      <c r="C590" s="20" t="s">
        <v>1199</v>
      </c>
      <c r="D590" s="20" t="s">
        <v>1200</v>
      </c>
      <c r="E590" s="20"/>
      <c r="F590" s="18" t="s">
        <v>1091</v>
      </c>
      <c r="G590" s="18" t="s">
        <v>19</v>
      </c>
      <c r="H590" s="4" t="str">
        <f t="shared" si="3"/>
        <v>1/SERVING</v>
      </c>
      <c r="I590" s="33">
        <v>1.0</v>
      </c>
      <c r="J590" s="36" t="s">
        <v>1100</v>
      </c>
      <c r="K590" s="16">
        <v>66.94</v>
      </c>
      <c r="L590" s="16">
        <v>425.0</v>
      </c>
    </row>
    <row r="591" ht="15.75" customHeight="1">
      <c r="A591" s="17" t="s">
        <v>16</v>
      </c>
      <c r="C591" s="20" t="s">
        <v>1201</v>
      </c>
      <c r="D591" s="20" t="s">
        <v>1202</v>
      </c>
      <c r="E591" s="20"/>
      <c r="F591" s="18" t="s">
        <v>1091</v>
      </c>
      <c r="G591" s="18" t="s">
        <v>19</v>
      </c>
      <c r="H591" s="4" t="str">
        <f t="shared" si="3"/>
        <v>1/SERVING</v>
      </c>
      <c r="I591" s="33">
        <v>1.0</v>
      </c>
      <c r="J591" s="36" t="s">
        <v>1100</v>
      </c>
      <c r="K591" s="16">
        <v>125.34</v>
      </c>
      <c r="L591" s="16">
        <v>495.0</v>
      </c>
    </row>
    <row r="592" ht="15.75" customHeight="1">
      <c r="A592" s="17" t="s">
        <v>16</v>
      </c>
      <c r="C592" s="20" t="s">
        <v>1203</v>
      </c>
      <c r="D592" s="20" t="s">
        <v>1204</v>
      </c>
      <c r="E592" s="20"/>
      <c r="F592" s="18" t="s">
        <v>1091</v>
      </c>
      <c r="G592" s="18" t="s">
        <v>19</v>
      </c>
      <c r="H592" s="4" t="str">
        <f t="shared" si="3"/>
        <v>1/SERVING</v>
      </c>
      <c r="I592" s="33">
        <v>1.0</v>
      </c>
      <c r="J592" s="36" t="s">
        <v>1100</v>
      </c>
      <c r="K592" s="16">
        <v>268.11</v>
      </c>
      <c r="L592" s="16">
        <v>795.0</v>
      </c>
    </row>
    <row r="593" ht="15.75" customHeight="1">
      <c r="A593" s="17" t="s">
        <v>16</v>
      </c>
      <c r="C593" s="20" t="s">
        <v>1205</v>
      </c>
      <c r="D593" s="20" t="s">
        <v>1206</v>
      </c>
      <c r="E593" s="20"/>
      <c r="F593" s="18" t="s">
        <v>1091</v>
      </c>
      <c r="G593" s="18" t="s">
        <v>19</v>
      </c>
      <c r="H593" s="4" t="str">
        <f t="shared" si="3"/>
        <v>1/SERVING</v>
      </c>
      <c r="I593" s="33">
        <v>1.0</v>
      </c>
      <c r="J593" s="36" t="s">
        <v>1100</v>
      </c>
      <c r="K593" s="16">
        <v>436.78</v>
      </c>
      <c r="L593" s="16">
        <v>1345.0</v>
      </c>
    </row>
    <row r="594" ht="15.75" customHeight="1">
      <c r="A594" s="17" t="s">
        <v>16</v>
      </c>
      <c r="C594" s="20" t="s">
        <v>1207</v>
      </c>
      <c r="D594" s="20" t="s">
        <v>1208</v>
      </c>
      <c r="E594" s="20"/>
      <c r="F594" s="18" t="s">
        <v>1091</v>
      </c>
      <c r="G594" s="18" t="s">
        <v>19</v>
      </c>
      <c r="H594" s="4" t="str">
        <f t="shared" si="3"/>
        <v>1/SERVING</v>
      </c>
      <c r="I594" s="33">
        <v>1.0</v>
      </c>
      <c r="J594" s="36" t="s">
        <v>1100</v>
      </c>
      <c r="K594" s="16">
        <v>309.12</v>
      </c>
      <c r="L594" s="16">
        <v>975.0</v>
      </c>
    </row>
    <row r="595" ht="15.75" customHeight="1">
      <c r="A595" s="17" t="s">
        <v>16</v>
      </c>
      <c r="C595" s="20" t="s">
        <v>1209</v>
      </c>
      <c r="D595" s="20" t="s">
        <v>1210</v>
      </c>
      <c r="E595" s="20"/>
      <c r="F595" s="18" t="s">
        <v>1091</v>
      </c>
      <c r="G595" s="18" t="s">
        <v>19</v>
      </c>
      <c r="H595" s="4" t="str">
        <f t="shared" si="3"/>
        <v>1/SERVING</v>
      </c>
      <c r="I595" s="33">
        <v>1.0</v>
      </c>
      <c r="J595" s="36" t="s">
        <v>1100</v>
      </c>
      <c r="K595" s="16">
        <v>177.95</v>
      </c>
      <c r="L595" s="16">
        <v>775.0</v>
      </c>
    </row>
    <row r="596" ht="15.75" customHeight="1">
      <c r="A596" s="17" t="s">
        <v>16</v>
      </c>
      <c r="C596" s="20" t="s">
        <v>1211</v>
      </c>
      <c r="D596" s="20" t="s">
        <v>1212</v>
      </c>
      <c r="E596" s="20"/>
      <c r="F596" s="18" t="s">
        <v>1091</v>
      </c>
      <c r="G596" s="18" t="s">
        <v>19</v>
      </c>
      <c r="H596" s="4" t="str">
        <f t="shared" si="3"/>
        <v>1/SERVING</v>
      </c>
      <c r="I596" s="33">
        <v>1.0</v>
      </c>
      <c r="J596" s="36" t="s">
        <v>1100</v>
      </c>
      <c r="K596" s="16">
        <v>190.53</v>
      </c>
      <c r="L596" s="16">
        <v>775.0</v>
      </c>
    </row>
    <row r="597" ht="15.75" customHeight="1">
      <c r="A597" s="17" t="s">
        <v>16</v>
      </c>
      <c r="C597" s="20" t="s">
        <v>1213</v>
      </c>
      <c r="D597" s="20" t="s">
        <v>1214</v>
      </c>
      <c r="E597" s="20"/>
      <c r="F597" s="18" t="s">
        <v>1091</v>
      </c>
      <c r="G597" s="18" t="s">
        <v>19</v>
      </c>
      <c r="H597" s="4" t="str">
        <f t="shared" si="3"/>
        <v>1/SERVING</v>
      </c>
      <c r="I597" s="33">
        <v>1.0</v>
      </c>
      <c r="J597" s="36" t="s">
        <v>1100</v>
      </c>
      <c r="K597" s="16">
        <v>185.5</v>
      </c>
      <c r="L597" s="16">
        <v>775.0</v>
      </c>
    </row>
    <row r="598" ht="15.75" customHeight="1">
      <c r="A598" s="17" t="s">
        <v>16</v>
      </c>
      <c r="C598" s="20" t="s">
        <v>1215</v>
      </c>
      <c r="D598" s="20" t="s">
        <v>1216</v>
      </c>
      <c r="E598" s="20"/>
      <c r="F598" s="18" t="s">
        <v>1091</v>
      </c>
      <c r="G598" s="18" t="s">
        <v>19</v>
      </c>
      <c r="H598" s="4" t="str">
        <f t="shared" si="3"/>
        <v>1/SERVING</v>
      </c>
      <c r="I598" s="33">
        <v>1.0</v>
      </c>
      <c r="J598" s="36" t="s">
        <v>1100</v>
      </c>
      <c r="K598" s="16">
        <v>185.58</v>
      </c>
      <c r="L598" s="16">
        <v>775.0</v>
      </c>
    </row>
    <row r="599" ht="15.75" customHeight="1">
      <c r="A599" s="17" t="s">
        <v>16</v>
      </c>
      <c r="C599" s="20" t="s">
        <v>1217</v>
      </c>
      <c r="D599" s="20" t="s">
        <v>1218</v>
      </c>
      <c r="E599" s="20"/>
      <c r="F599" s="18" t="s">
        <v>1091</v>
      </c>
      <c r="G599" s="18" t="s">
        <v>19</v>
      </c>
      <c r="H599" s="4" t="str">
        <f t="shared" si="3"/>
        <v>1/SERVING</v>
      </c>
      <c r="I599" s="33">
        <v>1.0</v>
      </c>
      <c r="J599" s="36" t="s">
        <v>1100</v>
      </c>
      <c r="K599" s="16">
        <v>185.95</v>
      </c>
      <c r="L599" s="16">
        <v>775.0</v>
      </c>
    </row>
    <row r="600" ht="15.75" customHeight="1">
      <c r="A600" s="17" t="s">
        <v>16</v>
      </c>
      <c r="C600" s="20" t="s">
        <v>1219</v>
      </c>
      <c r="D600" s="20" t="s">
        <v>1220</v>
      </c>
      <c r="E600" s="20"/>
      <c r="F600" s="18" t="s">
        <v>1091</v>
      </c>
      <c r="G600" s="18" t="s">
        <v>19</v>
      </c>
      <c r="H600" s="4" t="str">
        <f t="shared" si="3"/>
        <v>1/SERVING</v>
      </c>
      <c r="I600" s="33">
        <v>1.0</v>
      </c>
      <c r="J600" s="36" t="s">
        <v>1100</v>
      </c>
      <c r="K600" s="16">
        <v>183.44</v>
      </c>
      <c r="L600" s="16">
        <v>775.0</v>
      </c>
    </row>
    <row r="601" ht="15.75" customHeight="1">
      <c r="A601" s="17" t="s">
        <v>16</v>
      </c>
      <c r="C601" s="20" t="s">
        <v>1221</v>
      </c>
      <c r="D601" s="20" t="s">
        <v>1222</v>
      </c>
      <c r="E601" s="20"/>
      <c r="F601" s="18" t="s">
        <v>1091</v>
      </c>
      <c r="G601" s="18" t="s">
        <v>19</v>
      </c>
      <c r="H601" s="4" t="str">
        <f t="shared" si="3"/>
        <v>1/SERVING</v>
      </c>
      <c r="I601" s="33">
        <v>1.0</v>
      </c>
      <c r="J601" s="36" t="s">
        <v>1100</v>
      </c>
      <c r="K601" s="16">
        <v>190.78</v>
      </c>
      <c r="L601" s="16">
        <v>775.0</v>
      </c>
    </row>
    <row r="602" ht="15.75" customHeight="1">
      <c r="A602" s="17" t="s">
        <v>16</v>
      </c>
      <c r="C602" s="20" t="s">
        <v>1223</v>
      </c>
      <c r="D602" s="20" t="s">
        <v>1224</v>
      </c>
      <c r="E602" s="20"/>
      <c r="F602" s="18" t="s">
        <v>1091</v>
      </c>
      <c r="G602" s="18" t="s">
        <v>19</v>
      </c>
      <c r="H602" s="4" t="str">
        <f t="shared" si="3"/>
        <v>1/SERVING</v>
      </c>
      <c r="I602" s="33">
        <v>1.0</v>
      </c>
      <c r="J602" s="36" t="s">
        <v>1100</v>
      </c>
      <c r="K602" s="16">
        <v>188.01</v>
      </c>
      <c r="L602" s="16">
        <v>775.0</v>
      </c>
    </row>
    <row r="603" ht="15.75" customHeight="1">
      <c r="A603" s="17" t="s">
        <v>16</v>
      </c>
      <c r="C603" s="20" t="s">
        <v>1225</v>
      </c>
      <c r="D603" s="20" t="s">
        <v>1226</v>
      </c>
      <c r="E603" s="20"/>
      <c r="F603" s="18" t="s">
        <v>1091</v>
      </c>
      <c r="G603" s="18" t="s">
        <v>19</v>
      </c>
      <c r="H603" s="4" t="str">
        <f t="shared" si="3"/>
        <v>1/SERVING</v>
      </c>
      <c r="I603" s="33">
        <v>1.0</v>
      </c>
      <c r="J603" s="36" t="s">
        <v>1100</v>
      </c>
      <c r="K603" s="16">
        <v>196.27</v>
      </c>
      <c r="L603" s="16">
        <v>775.0</v>
      </c>
    </row>
    <row r="604" ht="15.75" customHeight="1">
      <c r="A604" s="17" t="s">
        <v>16</v>
      </c>
      <c r="C604" s="20" t="s">
        <v>1227</v>
      </c>
      <c r="D604" s="20" t="s">
        <v>1228</v>
      </c>
      <c r="E604" s="20"/>
      <c r="F604" s="18" t="s">
        <v>1091</v>
      </c>
      <c r="G604" s="18" t="s">
        <v>19</v>
      </c>
      <c r="H604" s="4" t="str">
        <f t="shared" si="3"/>
        <v>1/SERVING</v>
      </c>
      <c r="I604" s="33">
        <v>1.0</v>
      </c>
      <c r="J604" s="36" t="s">
        <v>1100</v>
      </c>
      <c r="K604" s="16">
        <v>198.78</v>
      </c>
      <c r="L604" s="16">
        <v>775.0</v>
      </c>
    </row>
    <row r="605" ht="15.75" customHeight="1">
      <c r="A605" s="17" t="s">
        <v>16</v>
      </c>
      <c r="C605" s="20" t="s">
        <v>1229</v>
      </c>
      <c r="D605" s="20" t="s">
        <v>1230</v>
      </c>
      <c r="E605" s="20"/>
      <c r="F605" s="18" t="s">
        <v>1091</v>
      </c>
      <c r="G605" s="18" t="s">
        <v>19</v>
      </c>
      <c r="H605" s="4" t="str">
        <f t="shared" si="3"/>
        <v>1/SERVING</v>
      </c>
      <c r="I605" s="33">
        <v>1.0</v>
      </c>
      <c r="J605" s="36" t="s">
        <v>1100</v>
      </c>
      <c r="K605" s="16">
        <v>274.08</v>
      </c>
      <c r="L605" s="16">
        <v>1195.0</v>
      </c>
    </row>
    <row r="606" ht="15.75" customHeight="1">
      <c r="A606" s="17" t="s">
        <v>16</v>
      </c>
      <c r="C606" s="20" t="s">
        <v>1231</v>
      </c>
      <c r="D606" s="20" t="s">
        <v>1232</v>
      </c>
      <c r="E606" s="20"/>
      <c r="F606" s="18" t="s">
        <v>1091</v>
      </c>
      <c r="G606" s="18" t="s">
        <v>19</v>
      </c>
      <c r="H606" s="4" t="str">
        <f t="shared" si="3"/>
        <v>1/SERVING</v>
      </c>
      <c r="I606" s="33">
        <v>1.0</v>
      </c>
      <c r="J606" s="36" t="s">
        <v>1100</v>
      </c>
      <c r="K606" s="16">
        <v>429.08</v>
      </c>
      <c r="L606" s="16">
        <v>1195.0</v>
      </c>
    </row>
    <row r="607" ht="15.75" customHeight="1">
      <c r="A607" s="17" t="s">
        <v>16</v>
      </c>
      <c r="C607" s="20" t="s">
        <v>1233</v>
      </c>
      <c r="D607" s="20" t="s">
        <v>1234</v>
      </c>
      <c r="E607" s="20"/>
      <c r="F607" s="18" t="s">
        <v>1091</v>
      </c>
      <c r="G607" s="18" t="s">
        <v>19</v>
      </c>
      <c r="H607" s="4" t="str">
        <f t="shared" si="3"/>
        <v>1/SERVING</v>
      </c>
      <c r="I607" s="33">
        <v>1.0</v>
      </c>
      <c r="J607" s="36" t="s">
        <v>1100</v>
      </c>
      <c r="K607" s="16">
        <v>317.55</v>
      </c>
      <c r="L607" s="16">
        <v>1095.0</v>
      </c>
    </row>
    <row r="608" ht="15.75" customHeight="1">
      <c r="A608" s="17" t="s">
        <v>16</v>
      </c>
      <c r="C608" s="20" t="s">
        <v>1235</v>
      </c>
      <c r="D608" s="20" t="s">
        <v>1236</v>
      </c>
      <c r="E608" s="20"/>
      <c r="F608" s="18" t="s">
        <v>1091</v>
      </c>
      <c r="G608" s="18" t="s">
        <v>19</v>
      </c>
      <c r="H608" s="4" t="str">
        <f t="shared" si="3"/>
        <v>1/SERVING</v>
      </c>
      <c r="I608" s="33">
        <v>1.0</v>
      </c>
      <c r="J608" s="36" t="s">
        <v>1100</v>
      </c>
      <c r="K608" s="16">
        <v>312.37</v>
      </c>
      <c r="L608" s="16">
        <v>1195.0</v>
      </c>
    </row>
    <row r="609" ht="15.75" customHeight="1">
      <c r="A609" s="17" t="s">
        <v>16</v>
      </c>
      <c r="C609" s="20" t="s">
        <v>1237</v>
      </c>
      <c r="D609" s="20" t="s">
        <v>1238</v>
      </c>
      <c r="E609" s="20"/>
      <c r="F609" s="18" t="s">
        <v>1091</v>
      </c>
      <c r="G609" s="18" t="s">
        <v>19</v>
      </c>
      <c r="H609" s="4" t="str">
        <f t="shared" si="3"/>
        <v>1/SERVING</v>
      </c>
      <c r="I609" s="33">
        <v>1.0</v>
      </c>
      <c r="J609" s="36" t="s">
        <v>1100</v>
      </c>
      <c r="K609" s="16">
        <v>240.42</v>
      </c>
      <c r="L609" s="16">
        <v>985.0</v>
      </c>
    </row>
    <row r="610" ht="15.75" customHeight="1">
      <c r="A610" s="17" t="s">
        <v>16</v>
      </c>
      <c r="C610" s="20" t="s">
        <v>1239</v>
      </c>
      <c r="D610" s="20" t="s">
        <v>1240</v>
      </c>
      <c r="E610" s="20"/>
      <c r="F610" s="18" t="s">
        <v>1091</v>
      </c>
      <c r="G610" s="18" t="s">
        <v>19</v>
      </c>
      <c r="H610" s="4" t="str">
        <f t="shared" si="3"/>
        <v>1/SERVING</v>
      </c>
      <c r="I610" s="33">
        <v>1.0</v>
      </c>
      <c r="J610" s="36" t="s">
        <v>1100</v>
      </c>
      <c r="K610" s="16">
        <v>200.71</v>
      </c>
      <c r="L610" s="16">
        <v>825.0</v>
      </c>
    </row>
    <row r="611" ht="15.75" customHeight="1">
      <c r="A611" s="17" t="s">
        <v>16</v>
      </c>
      <c r="C611" s="20" t="s">
        <v>1241</v>
      </c>
      <c r="D611" s="20" t="s">
        <v>1242</v>
      </c>
      <c r="E611" s="20"/>
      <c r="F611" s="18" t="s">
        <v>1091</v>
      </c>
      <c r="G611" s="18" t="s">
        <v>19</v>
      </c>
      <c r="H611" s="4" t="str">
        <f t="shared" si="3"/>
        <v>1/SERVING</v>
      </c>
      <c r="I611" s="33">
        <v>1.0</v>
      </c>
      <c r="J611" s="36" t="s">
        <v>1100</v>
      </c>
      <c r="K611" s="16">
        <v>230.58</v>
      </c>
      <c r="L611" s="16">
        <v>825.0</v>
      </c>
    </row>
    <row r="612" ht="15.75" customHeight="1">
      <c r="A612" s="17" t="s">
        <v>16</v>
      </c>
      <c r="C612" s="20" t="s">
        <v>1243</v>
      </c>
      <c r="D612" s="20" t="s">
        <v>1244</v>
      </c>
      <c r="E612" s="20"/>
      <c r="F612" s="18" t="s">
        <v>1091</v>
      </c>
      <c r="G612" s="18" t="s">
        <v>19</v>
      </c>
      <c r="H612" s="4" t="str">
        <f t="shared" si="3"/>
        <v>1/SERVING</v>
      </c>
      <c r="I612" s="33">
        <v>1.0</v>
      </c>
      <c r="J612" s="36" t="s">
        <v>1100</v>
      </c>
      <c r="K612" s="16">
        <v>225.55</v>
      </c>
      <c r="L612" s="16">
        <v>825.0</v>
      </c>
    </row>
    <row r="613" ht="15.75" customHeight="1">
      <c r="A613" s="17" t="s">
        <v>16</v>
      </c>
      <c r="C613" s="20" t="s">
        <v>1245</v>
      </c>
      <c r="D613" s="20" t="s">
        <v>1246</v>
      </c>
      <c r="E613" s="20"/>
      <c r="F613" s="18" t="s">
        <v>1091</v>
      </c>
      <c r="G613" s="18" t="s">
        <v>19</v>
      </c>
      <c r="H613" s="4" t="str">
        <f t="shared" si="3"/>
        <v>1/SERVING</v>
      </c>
      <c r="I613" s="33">
        <v>1.0</v>
      </c>
      <c r="J613" s="36" t="s">
        <v>1100</v>
      </c>
      <c r="K613" s="16">
        <v>229.53</v>
      </c>
      <c r="L613" s="16">
        <v>825.0</v>
      </c>
    </row>
    <row r="614" ht="15.75" customHeight="1">
      <c r="A614" s="17" t="s">
        <v>16</v>
      </c>
      <c r="C614" s="20" t="s">
        <v>1247</v>
      </c>
      <c r="D614" s="20" t="s">
        <v>1248</v>
      </c>
      <c r="E614" s="20"/>
      <c r="F614" s="18" t="s">
        <v>1091</v>
      </c>
      <c r="G614" s="18" t="s">
        <v>19</v>
      </c>
      <c r="H614" s="4" t="str">
        <f t="shared" si="3"/>
        <v>1/SERVING</v>
      </c>
      <c r="I614" s="33">
        <v>1.0</v>
      </c>
      <c r="J614" s="36" t="s">
        <v>1100</v>
      </c>
      <c r="K614" s="16">
        <v>214.44</v>
      </c>
      <c r="L614" s="16">
        <v>825.0</v>
      </c>
    </row>
    <row r="615" ht="15.75" customHeight="1">
      <c r="A615" s="17" t="s">
        <v>16</v>
      </c>
      <c r="C615" s="20" t="s">
        <v>1249</v>
      </c>
      <c r="D615" s="20" t="s">
        <v>1250</v>
      </c>
      <c r="E615" s="20"/>
      <c r="F615" s="18" t="s">
        <v>1091</v>
      </c>
      <c r="G615" s="18" t="s">
        <v>19</v>
      </c>
      <c r="H615" s="4" t="str">
        <f t="shared" si="3"/>
        <v>1/SERVING</v>
      </c>
      <c r="I615" s="33">
        <v>1.0</v>
      </c>
      <c r="J615" s="36" t="s">
        <v>1100</v>
      </c>
      <c r="K615" s="16">
        <v>211.93</v>
      </c>
      <c r="L615" s="16">
        <v>825.0</v>
      </c>
    </row>
    <row r="616" ht="15.75" customHeight="1">
      <c r="A616" s="17" t="s">
        <v>16</v>
      </c>
      <c r="C616" s="20" t="s">
        <v>1251</v>
      </c>
      <c r="D616" s="20" t="s">
        <v>1252</v>
      </c>
      <c r="E616" s="20"/>
      <c r="F616" s="18" t="s">
        <v>1091</v>
      </c>
      <c r="G616" s="18" t="s">
        <v>19</v>
      </c>
      <c r="H616" s="4" t="str">
        <f t="shared" si="3"/>
        <v>1/SERVING</v>
      </c>
      <c r="I616" s="33">
        <v>1.0</v>
      </c>
      <c r="J616" s="36" t="s">
        <v>1100</v>
      </c>
      <c r="K616" s="16">
        <v>212.2</v>
      </c>
      <c r="L616" s="16">
        <v>825.0</v>
      </c>
    </row>
    <row r="617" ht="15.75" customHeight="1">
      <c r="A617" s="17" t="s">
        <v>16</v>
      </c>
      <c r="C617" s="20" t="s">
        <v>1253</v>
      </c>
      <c r="D617" s="20" t="s">
        <v>1254</v>
      </c>
      <c r="E617" s="20"/>
      <c r="F617" s="18" t="s">
        <v>1091</v>
      </c>
      <c r="G617" s="18" t="s">
        <v>19</v>
      </c>
      <c r="H617" s="4" t="str">
        <f t="shared" si="3"/>
        <v>1/SERVING</v>
      </c>
      <c r="I617" s="33">
        <v>1.0</v>
      </c>
      <c r="J617" s="36" t="s">
        <v>1100</v>
      </c>
      <c r="K617" s="16">
        <v>228.06</v>
      </c>
      <c r="L617" s="16">
        <v>825.0</v>
      </c>
    </row>
    <row r="618" ht="15.75" customHeight="1">
      <c r="A618" s="17" t="s">
        <v>16</v>
      </c>
      <c r="C618" s="20" t="s">
        <v>1255</v>
      </c>
      <c r="D618" s="20" t="s">
        <v>1256</v>
      </c>
      <c r="E618" s="20"/>
      <c r="F618" s="18" t="s">
        <v>1091</v>
      </c>
      <c r="G618" s="18" t="s">
        <v>19</v>
      </c>
      <c r="H618" s="4" t="str">
        <f t="shared" si="3"/>
        <v>1/SERVING</v>
      </c>
      <c r="I618" s="33">
        <v>1.0</v>
      </c>
      <c r="J618" s="36" t="s">
        <v>1100</v>
      </c>
      <c r="K618" s="16">
        <v>231.77</v>
      </c>
      <c r="L618" s="16">
        <v>825.0</v>
      </c>
    </row>
    <row r="619" ht="15.75" customHeight="1">
      <c r="A619" s="17" t="s">
        <v>16</v>
      </c>
      <c r="C619" s="20" t="s">
        <v>1257</v>
      </c>
      <c r="D619" s="20" t="s">
        <v>1258</v>
      </c>
      <c r="E619" s="20"/>
      <c r="F619" s="18" t="s">
        <v>1091</v>
      </c>
      <c r="G619" s="18" t="s">
        <v>19</v>
      </c>
      <c r="H619" s="4" t="str">
        <f t="shared" si="3"/>
        <v>1/SERVING</v>
      </c>
      <c r="I619" s="33">
        <v>1.0</v>
      </c>
      <c r="J619" s="36" t="s">
        <v>1100</v>
      </c>
      <c r="K619" s="16">
        <v>229.25</v>
      </c>
      <c r="L619" s="16">
        <v>825.0</v>
      </c>
    </row>
    <row r="620" ht="15.75" customHeight="1">
      <c r="A620" s="17" t="s">
        <v>16</v>
      </c>
      <c r="C620" s="20" t="s">
        <v>1259</v>
      </c>
      <c r="D620" s="20" t="s">
        <v>1260</v>
      </c>
      <c r="E620" s="20"/>
      <c r="F620" s="18" t="s">
        <v>1091</v>
      </c>
      <c r="G620" s="18" t="s">
        <v>19</v>
      </c>
      <c r="H620" s="4" t="str">
        <f t="shared" si="3"/>
        <v>1/SERVING</v>
      </c>
      <c r="I620" s="33">
        <v>1.0</v>
      </c>
      <c r="J620" s="36" t="s">
        <v>1100</v>
      </c>
      <c r="K620" s="16">
        <v>530.86</v>
      </c>
      <c r="L620" s="16">
        <v>1585.0</v>
      </c>
    </row>
    <row r="621" ht="15.75" customHeight="1">
      <c r="A621" s="17" t="s">
        <v>16</v>
      </c>
      <c r="C621" s="20" t="s">
        <v>1261</v>
      </c>
      <c r="D621" s="20" t="s">
        <v>1262</v>
      </c>
      <c r="E621" s="20"/>
      <c r="F621" s="18" t="s">
        <v>1091</v>
      </c>
      <c r="G621" s="18" t="s">
        <v>19</v>
      </c>
      <c r="H621" s="4" t="str">
        <f t="shared" si="3"/>
        <v>1/SERVING</v>
      </c>
      <c r="I621" s="33">
        <v>1.0</v>
      </c>
      <c r="J621" s="36" t="s">
        <v>1100</v>
      </c>
      <c r="K621" s="16">
        <v>73.69</v>
      </c>
      <c r="L621" s="16">
        <v>325.0</v>
      </c>
    </row>
    <row r="622" ht="15.75" customHeight="1">
      <c r="A622" s="17" t="s">
        <v>16</v>
      </c>
      <c r="C622" s="20" t="s">
        <v>1263</v>
      </c>
      <c r="D622" s="20" t="s">
        <v>1264</v>
      </c>
      <c r="E622" s="20"/>
      <c r="F622" s="18" t="s">
        <v>1091</v>
      </c>
      <c r="G622" s="18" t="s">
        <v>19</v>
      </c>
      <c r="H622" s="4" t="str">
        <f t="shared" si="3"/>
        <v>1/SERVING</v>
      </c>
      <c r="I622" s="33">
        <v>1.0</v>
      </c>
      <c r="J622" s="36" t="s">
        <v>1100</v>
      </c>
      <c r="K622" s="16">
        <v>156.67</v>
      </c>
      <c r="L622" s="16">
        <v>425.0</v>
      </c>
    </row>
    <row r="623" ht="15.75" customHeight="1">
      <c r="A623" s="17" t="s">
        <v>16</v>
      </c>
      <c r="C623" s="20" t="s">
        <v>1265</v>
      </c>
      <c r="D623" s="20" t="s">
        <v>1266</v>
      </c>
      <c r="E623" s="20"/>
      <c r="F623" s="18" t="s">
        <v>1091</v>
      </c>
      <c r="G623" s="18" t="s">
        <v>19</v>
      </c>
      <c r="H623" s="4" t="str">
        <f t="shared" si="3"/>
        <v>1/SERVING</v>
      </c>
      <c r="I623" s="33">
        <v>1.0</v>
      </c>
      <c r="J623" s="36" t="s">
        <v>1100</v>
      </c>
      <c r="K623" s="16">
        <v>154.18</v>
      </c>
      <c r="L623" s="16">
        <v>455.0</v>
      </c>
    </row>
    <row r="624" ht="15.75" customHeight="1">
      <c r="A624" s="17" t="s">
        <v>16</v>
      </c>
      <c r="C624" s="20" t="s">
        <v>1267</v>
      </c>
      <c r="D624" s="20" t="s">
        <v>1268</v>
      </c>
      <c r="E624" s="20"/>
      <c r="F624" s="18" t="s">
        <v>1091</v>
      </c>
      <c r="G624" s="18" t="s">
        <v>19</v>
      </c>
      <c r="H624" s="4" t="str">
        <f t="shared" si="3"/>
        <v>1/SERVING</v>
      </c>
      <c r="I624" s="33">
        <v>1.0</v>
      </c>
      <c r="J624" s="36" t="s">
        <v>1100</v>
      </c>
      <c r="K624" s="16">
        <v>115.05</v>
      </c>
      <c r="L624" s="16">
        <v>425.0</v>
      </c>
    </row>
    <row r="625" ht="15.75" customHeight="1">
      <c r="A625" s="17" t="s">
        <v>16</v>
      </c>
      <c r="C625" s="20" t="s">
        <v>1269</v>
      </c>
      <c r="D625" s="20" t="s">
        <v>1270</v>
      </c>
      <c r="E625" s="20"/>
      <c r="F625" s="18" t="s">
        <v>1091</v>
      </c>
      <c r="G625" s="18" t="s">
        <v>19</v>
      </c>
      <c r="H625" s="4" t="str">
        <f t="shared" si="3"/>
        <v>1/SERVING</v>
      </c>
      <c r="I625" s="33">
        <v>1.0</v>
      </c>
      <c r="J625" s="36" t="s">
        <v>1100</v>
      </c>
      <c r="K625" s="16">
        <v>79.65</v>
      </c>
      <c r="L625" s="16">
        <v>355.0</v>
      </c>
    </row>
    <row r="626" ht="15.75" customHeight="1">
      <c r="A626" s="17" t="s">
        <v>16</v>
      </c>
      <c r="C626" s="20" t="s">
        <v>1271</v>
      </c>
      <c r="D626" s="20" t="s">
        <v>1272</v>
      </c>
      <c r="E626" s="20"/>
      <c r="F626" s="18" t="s">
        <v>1091</v>
      </c>
      <c r="G626" s="18" t="s">
        <v>19</v>
      </c>
      <c r="H626" s="4" t="str">
        <f t="shared" si="3"/>
        <v>1/SERVING</v>
      </c>
      <c r="I626" s="33">
        <v>1.0</v>
      </c>
      <c r="J626" s="36" t="s">
        <v>1100</v>
      </c>
      <c r="K626" s="16">
        <v>102.31</v>
      </c>
      <c r="L626" s="16">
        <v>365.0</v>
      </c>
    </row>
    <row r="627" ht="15.75" customHeight="1">
      <c r="A627" s="17" t="s">
        <v>16</v>
      </c>
      <c r="C627" s="20" t="s">
        <v>1273</v>
      </c>
      <c r="D627" s="20" t="s">
        <v>1274</v>
      </c>
      <c r="E627" s="20"/>
      <c r="F627" s="18" t="s">
        <v>1091</v>
      </c>
      <c r="G627" s="18" t="s">
        <v>19</v>
      </c>
      <c r="H627" s="4" t="str">
        <f t="shared" si="3"/>
        <v>1/SERVING</v>
      </c>
      <c r="I627" s="33">
        <v>1.0</v>
      </c>
      <c r="J627" s="36" t="s">
        <v>1100</v>
      </c>
      <c r="K627" s="16">
        <v>153.92</v>
      </c>
      <c r="L627" s="16">
        <v>465.0</v>
      </c>
    </row>
    <row r="628" ht="15.75" customHeight="1">
      <c r="A628" s="17" t="s">
        <v>16</v>
      </c>
      <c r="C628" s="20" t="s">
        <v>1275</v>
      </c>
      <c r="D628" s="20" t="s">
        <v>1276</v>
      </c>
      <c r="E628" s="20"/>
      <c r="F628" s="18" t="s">
        <v>1091</v>
      </c>
      <c r="G628" s="18" t="s">
        <v>19</v>
      </c>
      <c r="H628" s="4" t="str">
        <f t="shared" si="3"/>
        <v>1/SERVING</v>
      </c>
      <c r="I628" s="33">
        <v>1.0</v>
      </c>
      <c r="J628" s="36" t="s">
        <v>1100</v>
      </c>
      <c r="K628" s="16">
        <v>175.08</v>
      </c>
      <c r="L628" s="16">
        <v>525.0</v>
      </c>
    </row>
    <row r="629" ht="15.75" customHeight="1">
      <c r="A629" s="17" t="s">
        <v>16</v>
      </c>
      <c r="C629" s="20" t="s">
        <v>1277</v>
      </c>
      <c r="D629" s="20" t="s">
        <v>1278</v>
      </c>
      <c r="E629" s="20"/>
      <c r="F629" s="18" t="s">
        <v>1091</v>
      </c>
      <c r="G629" s="18" t="s">
        <v>19</v>
      </c>
      <c r="H629" s="4" t="str">
        <f t="shared" si="3"/>
        <v>1/SERVING</v>
      </c>
      <c r="I629" s="33">
        <v>1.0</v>
      </c>
      <c r="J629" s="36" t="s">
        <v>1100</v>
      </c>
      <c r="K629" s="16">
        <v>167.99</v>
      </c>
      <c r="L629" s="16">
        <v>595.0</v>
      </c>
    </row>
    <row r="630" ht="15.75" customHeight="1">
      <c r="A630" s="17" t="s">
        <v>16</v>
      </c>
      <c r="C630" s="20" t="s">
        <v>1279</v>
      </c>
      <c r="D630" s="20" t="s">
        <v>1280</v>
      </c>
      <c r="E630" s="20"/>
      <c r="F630" s="18" t="s">
        <v>1091</v>
      </c>
      <c r="G630" s="18" t="s">
        <v>19</v>
      </c>
      <c r="H630" s="4" t="str">
        <f t="shared" si="3"/>
        <v>1/SERVING</v>
      </c>
      <c r="I630" s="33">
        <v>1.0</v>
      </c>
      <c r="J630" s="36" t="s">
        <v>1100</v>
      </c>
      <c r="K630" s="16">
        <v>283.43</v>
      </c>
      <c r="L630" s="16">
        <v>895.0</v>
      </c>
    </row>
    <row r="631" ht="15.75" customHeight="1">
      <c r="A631" s="17" t="s">
        <v>16</v>
      </c>
      <c r="C631" s="20" t="s">
        <v>1281</v>
      </c>
      <c r="D631" s="20" t="s">
        <v>1282</v>
      </c>
      <c r="E631" s="20"/>
      <c r="F631" s="18" t="s">
        <v>1091</v>
      </c>
      <c r="G631" s="18" t="s">
        <v>19</v>
      </c>
      <c r="H631" s="4" t="str">
        <f t="shared" si="3"/>
        <v>1/SERVING</v>
      </c>
      <c r="I631" s="33">
        <v>1.0</v>
      </c>
      <c r="J631" s="36" t="s">
        <v>1100</v>
      </c>
      <c r="K631" s="16">
        <v>234.81</v>
      </c>
      <c r="L631" s="16">
        <v>825.0</v>
      </c>
    </row>
    <row r="632" ht="15.75" customHeight="1">
      <c r="A632" s="17" t="s">
        <v>16</v>
      </c>
      <c r="C632" s="20" t="s">
        <v>1283</v>
      </c>
      <c r="D632" s="20" t="s">
        <v>1284</v>
      </c>
      <c r="E632" s="20"/>
      <c r="F632" s="18" t="s">
        <v>1091</v>
      </c>
      <c r="G632" s="18" t="s">
        <v>19</v>
      </c>
      <c r="H632" s="4" t="str">
        <f t="shared" si="3"/>
        <v>1/SERVING</v>
      </c>
      <c r="I632" s="33">
        <v>1.0</v>
      </c>
      <c r="J632" s="36" t="s">
        <v>1100</v>
      </c>
      <c r="K632" s="16">
        <v>143.34</v>
      </c>
      <c r="L632" s="16">
        <v>695.0</v>
      </c>
    </row>
    <row r="633" ht="15.75" customHeight="1">
      <c r="A633" s="17" t="s">
        <v>16</v>
      </c>
      <c r="C633" s="20" t="s">
        <v>1285</v>
      </c>
      <c r="D633" s="20" t="s">
        <v>1286</v>
      </c>
      <c r="E633" s="20"/>
      <c r="F633" s="18" t="s">
        <v>1091</v>
      </c>
      <c r="G633" s="18" t="s">
        <v>19</v>
      </c>
      <c r="H633" s="4" t="str">
        <f t="shared" si="3"/>
        <v>1/SERVING</v>
      </c>
      <c r="I633" s="33">
        <v>1.0</v>
      </c>
      <c r="J633" s="36" t="s">
        <v>1100</v>
      </c>
      <c r="K633" s="16">
        <v>210.74</v>
      </c>
      <c r="L633" s="16">
        <v>695.0</v>
      </c>
    </row>
    <row r="634" ht="15.75" customHeight="1">
      <c r="A634" s="17" t="s">
        <v>16</v>
      </c>
      <c r="C634" s="20" t="s">
        <v>1287</v>
      </c>
      <c r="D634" s="20" t="s">
        <v>1288</v>
      </c>
      <c r="E634" s="20"/>
      <c r="F634" s="18" t="s">
        <v>1091</v>
      </c>
      <c r="G634" s="18" t="s">
        <v>19</v>
      </c>
      <c r="H634" s="4" t="str">
        <f t="shared" si="3"/>
        <v>1/SERVING</v>
      </c>
      <c r="I634" s="33">
        <v>1.0</v>
      </c>
      <c r="J634" s="36" t="s">
        <v>1100</v>
      </c>
      <c r="K634" s="16">
        <v>322.23</v>
      </c>
      <c r="L634" s="16">
        <v>895.0</v>
      </c>
    </row>
    <row r="635" ht="15.75" customHeight="1">
      <c r="A635" s="17" t="s">
        <v>16</v>
      </c>
      <c r="C635" s="20" t="s">
        <v>1289</v>
      </c>
      <c r="D635" s="20" t="s">
        <v>1290</v>
      </c>
      <c r="E635" s="20"/>
      <c r="F635" s="18" t="s">
        <v>1091</v>
      </c>
      <c r="G635" s="18" t="s">
        <v>19</v>
      </c>
      <c r="H635" s="4" t="str">
        <f t="shared" si="3"/>
        <v>1/SERVING</v>
      </c>
      <c r="I635" s="33">
        <v>1.0</v>
      </c>
      <c r="J635" s="36" t="s">
        <v>1100</v>
      </c>
      <c r="K635" s="16">
        <v>354.87</v>
      </c>
      <c r="L635" s="16">
        <v>1025.0</v>
      </c>
    </row>
    <row r="636" ht="15.75" customHeight="1">
      <c r="A636" s="17" t="s">
        <v>16</v>
      </c>
      <c r="C636" s="20" t="s">
        <v>1132</v>
      </c>
      <c r="D636" s="20" t="s">
        <v>1291</v>
      </c>
      <c r="E636" s="20"/>
      <c r="F636" s="18" t="s">
        <v>1091</v>
      </c>
      <c r="G636" s="18" t="s">
        <v>19</v>
      </c>
      <c r="H636" s="4" t="str">
        <f t="shared" si="3"/>
        <v>1/SERVING</v>
      </c>
      <c r="I636" s="33">
        <v>1.0</v>
      </c>
      <c r="J636" s="36" t="s">
        <v>1100</v>
      </c>
      <c r="K636" s="16">
        <v>21.8</v>
      </c>
      <c r="L636" s="16">
        <v>125.0</v>
      </c>
    </row>
    <row r="637" ht="15.75" customHeight="1">
      <c r="A637" s="17" t="s">
        <v>16</v>
      </c>
      <c r="C637" s="20" t="s">
        <v>1292</v>
      </c>
      <c r="D637" s="20" t="s">
        <v>1293</v>
      </c>
      <c r="E637" s="20"/>
      <c r="F637" s="18" t="s">
        <v>1091</v>
      </c>
      <c r="G637" s="18" t="s">
        <v>19</v>
      </c>
      <c r="H637" s="4" t="str">
        <f t="shared" si="3"/>
        <v>1/SERVING</v>
      </c>
      <c r="I637" s="33">
        <v>1.0</v>
      </c>
      <c r="J637" s="36" t="s">
        <v>1100</v>
      </c>
      <c r="K637" s="16">
        <v>193.44</v>
      </c>
      <c r="L637" s="16">
        <v>545.0</v>
      </c>
    </row>
    <row r="638" ht="15.75" customHeight="1">
      <c r="A638" s="17" t="s">
        <v>16</v>
      </c>
      <c r="C638" s="20" t="s">
        <v>1294</v>
      </c>
      <c r="D638" s="20" t="s">
        <v>1295</v>
      </c>
      <c r="E638" s="20"/>
      <c r="F638" s="18" t="s">
        <v>1091</v>
      </c>
      <c r="G638" s="18" t="s">
        <v>19</v>
      </c>
      <c r="H638" s="4" t="str">
        <f t="shared" si="3"/>
        <v>1/SERVING</v>
      </c>
      <c r="I638" s="33">
        <v>1.0</v>
      </c>
      <c r="J638" s="36" t="s">
        <v>1100</v>
      </c>
      <c r="K638" s="16">
        <v>145.37</v>
      </c>
      <c r="L638" s="16">
        <v>495.0</v>
      </c>
    </row>
    <row r="639" ht="15.75" customHeight="1">
      <c r="A639" s="17" t="s">
        <v>16</v>
      </c>
      <c r="C639" s="20" t="s">
        <v>1296</v>
      </c>
      <c r="D639" s="20" t="s">
        <v>1297</v>
      </c>
      <c r="E639" s="20"/>
      <c r="F639" s="18" t="s">
        <v>1091</v>
      </c>
      <c r="G639" s="18" t="s">
        <v>19</v>
      </c>
      <c r="H639" s="4" t="str">
        <f t="shared" si="3"/>
        <v>1/SERVING</v>
      </c>
      <c r="I639" s="33">
        <v>1.0</v>
      </c>
      <c r="J639" s="36" t="s">
        <v>1100</v>
      </c>
      <c r="K639" s="16">
        <v>196.52</v>
      </c>
      <c r="L639" s="16">
        <v>525.0</v>
      </c>
    </row>
    <row r="640" ht="15.75" customHeight="1">
      <c r="A640" s="17" t="s">
        <v>16</v>
      </c>
      <c r="C640" s="20" t="s">
        <v>1298</v>
      </c>
      <c r="D640" s="20" t="s">
        <v>1299</v>
      </c>
      <c r="E640" s="20"/>
      <c r="F640" s="18" t="s">
        <v>1091</v>
      </c>
      <c r="G640" s="18" t="s">
        <v>19</v>
      </c>
      <c r="H640" s="4" t="str">
        <f t="shared" si="3"/>
        <v>1/SERVING</v>
      </c>
      <c r="I640" s="33">
        <v>1.0</v>
      </c>
      <c r="J640" s="36" t="s">
        <v>1100</v>
      </c>
      <c r="K640" s="16">
        <v>150.95</v>
      </c>
      <c r="L640" s="16">
        <v>495.0</v>
      </c>
    </row>
    <row r="641" ht="15.75" customHeight="1">
      <c r="A641" s="17" t="s">
        <v>16</v>
      </c>
      <c r="C641" s="20" t="s">
        <v>1300</v>
      </c>
      <c r="D641" s="20" t="s">
        <v>1301</v>
      </c>
      <c r="E641" s="20"/>
      <c r="F641" s="18" t="s">
        <v>1091</v>
      </c>
      <c r="G641" s="18" t="s">
        <v>19</v>
      </c>
      <c r="H641" s="4" t="str">
        <f t="shared" si="3"/>
        <v>1/SERVING</v>
      </c>
      <c r="I641" s="33">
        <v>1.0</v>
      </c>
      <c r="J641" s="36" t="s">
        <v>1100</v>
      </c>
      <c r="K641" s="16">
        <v>119.25</v>
      </c>
      <c r="L641" s="16">
        <v>475.0</v>
      </c>
    </row>
    <row r="642" ht="15.75" customHeight="1">
      <c r="A642" s="17" t="s">
        <v>16</v>
      </c>
      <c r="C642" s="20" t="s">
        <v>1302</v>
      </c>
      <c r="D642" s="20" t="s">
        <v>1303</v>
      </c>
      <c r="E642" s="20"/>
      <c r="F642" s="18" t="s">
        <v>1091</v>
      </c>
      <c r="G642" s="18" t="s">
        <v>19</v>
      </c>
      <c r="H642" s="4" t="str">
        <f t="shared" si="3"/>
        <v>1/SERVING</v>
      </c>
      <c r="I642" s="33">
        <v>1.0</v>
      </c>
      <c r="J642" s="36" t="s">
        <v>1100</v>
      </c>
      <c r="K642" s="16">
        <v>171.93</v>
      </c>
      <c r="L642" s="16">
        <v>495.0</v>
      </c>
    </row>
    <row r="643" ht="15.75" customHeight="1">
      <c r="A643" s="17" t="s">
        <v>16</v>
      </c>
      <c r="C643" s="20" t="s">
        <v>1304</v>
      </c>
      <c r="D643" s="20" t="s">
        <v>1305</v>
      </c>
      <c r="E643" s="20"/>
      <c r="F643" s="18" t="s">
        <v>1091</v>
      </c>
      <c r="G643" s="18" t="s">
        <v>19</v>
      </c>
      <c r="H643" s="4" t="str">
        <f t="shared" si="3"/>
        <v>1/SERVING</v>
      </c>
      <c r="I643" s="33">
        <v>1.0</v>
      </c>
      <c r="J643" s="36" t="s">
        <v>1100</v>
      </c>
      <c r="K643" s="16">
        <v>83.3</v>
      </c>
      <c r="L643" s="16">
        <v>365.0</v>
      </c>
    </row>
    <row r="644" ht="15.75" customHeight="1">
      <c r="A644" s="17" t="s">
        <v>16</v>
      </c>
      <c r="C644" s="20" t="s">
        <v>1306</v>
      </c>
      <c r="D644" s="20" t="s">
        <v>1307</v>
      </c>
      <c r="E644" s="20"/>
      <c r="F644" s="18" t="s">
        <v>1091</v>
      </c>
      <c r="G644" s="18" t="s">
        <v>19</v>
      </c>
      <c r="H644" s="4" t="str">
        <f t="shared" si="3"/>
        <v>1/SERVING</v>
      </c>
      <c r="I644" s="33">
        <v>1.0</v>
      </c>
      <c r="J644" s="36" t="s">
        <v>1100</v>
      </c>
      <c r="K644" s="16">
        <v>184.56</v>
      </c>
      <c r="L644" s="16">
        <v>495.0</v>
      </c>
    </row>
    <row r="645" ht="15.75" customHeight="1">
      <c r="A645" s="17" t="s">
        <v>16</v>
      </c>
      <c r="C645" s="20" t="s">
        <v>1103</v>
      </c>
      <c r="D645" s="20" t="s">
        <v>1308</v>
      </c>
      <c r="E645" s="20"/>
      <c r="F645" s="18" t="s">
        <v>1091</v>
      </c>
      <c r="G645" s="18" t="s">
        <v>19</v>
      </c>
      <c r="H645" s="4" t="str">
        <f t="shared" si="3"/>
        <v>1/SERVING</v>
      </c>
      <c r="I645" s="33">
        <v>1.0</v>
      </c>
      <c r="J645" s="36" t="s">
        <v>1100</v>
      </c>
      <c r="K645" s="16">
        <v>144.37</v>
      </c>
      <c r="L645" s="16">
        <v>425.0</v>
      </c>
    </row>
    <row r="646" ht="15.75" customHeight="1">
      <c r="A646" s="17" t="s">
        <v>16</v>
      </c>
      <c r="C646" s="20" t="s">
        <v>1309</v>
      </c>
      <c r="D646" s="20" t="s">
        <v>1310</v>
      </c>
      <c r="E646" s="20"/>
      <c r="F646" s="18" t="s">
        <v>1091</v>
      </c>
      <c r="G646" s="18" t="s">
        <v>19</v>
      </c>
      <c r="H646" s="4" t="str">
        <f t="shared" si="3"/>
        <v>1/SERVING</v>
      </c>
      <c r="I646" s="33">
        <v>1.0</v>
      </c>
      <c r="J646" s="36" t="s">
        <v>1100</v>
      </c>
      <c r="K646" s="16">
        <v>108.94</v>
      </c>
      <c r="L646" s="16">
        <v>365.0</v>
      </c>
    </row>
    <row r="647" ht="15.75" customHeight="1">
      <c r="A647" s="17" t="s">
        <v>16</v>
      </c>
      <c r="C647" s="20" t="s">
        <v>1311</v>
      </c>
      <c r="D647" s="20" t="s">
        <v>1312</v>
      </c>
      <c r="E647" s="20"/>
      <c r="F647" s="18" t="s">
        <v>1091</v>
      </c>
      <c r="G647" s="18" t="s">
        <v>19</v>
      </c>
      <c r="H647" s="4" t="str">
        <f t="shared" si="3"/>
        <v>1/SERVING</v>
      </c>
      <c r="I647" s="33">
        <v>1.0</v>
      </c>
      <c r="J647" s="36" t="s">
        <v>1100</v>
      </c>
      <c r="K647" s="16">
        <v>126.79</v>
      </c>
      <c r="L647" s="16">
        <v>365.0</v>
      </c>
    </row>
    <row r="648" ht="15.75" customHeight="1">
      <c r="A648" s="17" t="s">
        <v>16</v>
      </c>
      <c r="C648" s="20" t="s">
        <v>1313</v>
      </c>
      <c r="D648" s="20" t="s">
        <v>1314</v>
      </c>
      <c r="E648" s="20"/>
      <c r="F648" s="18" t="s">
        <v>1091</v>
      </c>
      <c r="G648" s="18" t="s">
        <v>19</v>
      </c>
      <c r="H648" s="4" t="str">
        <f t="shared" si="3"/>
        <v>1/SERVING</v>
      </c>
      <c r="I648" s="33">
        <v>1.0</v>
      </c>
      <c r="J648" s="36" t="s">
        <v>1100</v>
      </c>
      <c r="K648" s="16">
        <v>136.6</v>
      </c>
      <c r="L648" s="16">
        <v>395.0</v>
      </c>
    </row>
    <row r="649" ht="15.75" customHeight="1">
      <c r="A649" s="17" t="s">
        <v>16</v>
      </c>
      <c r="C649" s="20" t="s">
        <v>1315</v>
      </c>
      <c r="D649" s="20" t="s">
        <v>1316</v>
      </c>
      <c r="E649" s="20"/>
      <c r="F649" s="18" t="s">
        <v>1091</v>
      </c>
      <c r="G649" s="18" t="s">
        <v>19</v>
      </c>
      <c r="H649" s="4" t="str">
        <f t="shared" si="3"/>
        <v>1/SERVING</v>
      </c>
      <c r="I649" s="33">
        <v>1.0</v>
      </c>
      <c r="J649" s="36" t="s">
        <v>1100</v>
      </c>
      <c r="K649" s="16">
        <v>51.27</v>
      </c>
      <c r="L649" s="16">
        <v>155.0</v>
      </c>
    </row>
    <row r="650" ht="15.75" customHeight="1">
      <c r="A650" s="17" t="s">
        <v>16</v>
      </c>
      <c r="C650" s="20" t="s">
        <v>1317</v>
      </c>
      <c r="D650" s="20" t="s">
        <v>1318</v>
      </c>
      <c r="E650" s="20"/>
      <c r="F650" s="18" t="s">
        <v>1091</v>
      </c>
      <c r="G650" s="18" t="s">
        <v>19</v>
      </c>
      <c r="H650" s="4" t="str">
        <f t="shared" si="3"/>
        <v>1/SERVING</v>
      </c>
      <c r="I650" s="33">
        <v>1.0</v>
      </c>
      <c r="J650" s="36" t="s">
        <v>1100</v>
      </c>
      <c r="K650" s="16">
        <v>18.94</v>
      </c>
      <c r="L650" s="16">
        <v>50.0</v>
      </c>
    </row>
    <row r="651" ht="15.75" customHeight="1">
      <c r="A651" s="17" t="s">
        <v>16</v>
      </c>
      <c r="C651" s="20" t="s">
        <v>1319</v>
      </c>
      <c r="D651" s="20" t="s">
        <v>1320</v>
      </c>
      <c r="E651" s="20"/>
      <c r="F651" s="18" t="s">
        <v>1091</v>
      </c>
      <c r="G651" s="18" t="s">
        <v>19</v>
      </c>
      <c r="H651" s="4" t="str">
        <f t="shared" si="3"/>
        <v>1/SERVING</v>
      </c>
      <c r="I651" s="33">
        <v>1.0</v>
      </c>
      <c r="J651" s="36" t="s">
        <v>1100</v>
      </c>
      <c r="K651" s="16">
        <v>5.24</v>
      </c>
      <c r="L651" s="16">
        <v>20.0</v>
      </c>
    </row>
    <row r="652" ht="15.75" customHeight="1">
      <c r="A652" s="17" t="s">
        <v>16</v>
      </c>
      <c r="C652" s="20" t="s">
        <v>1132</v>
      </c>
      <c r="D652" s="20" t="s">
        <v>1321</v>
      </c>
      <c r="E652" s="20"/>
      <c r="F652" s="18" t="s">
        <v>1091</v>
      </c>
      <c r="G652" s="18" t="s">
        <v>19</v>
      </c>
      <c r="H652" s="4" t="str">
        <f t="shared" si="3"/>
        <v>1/SERVING</v>
      </c>
      <c r="I652" s="33">
        <v>1.0</v>
      </c>
      <c r="J652" s="36" t="s">
        <v>1100</v>
      </c>
      <c r="K652" s="16">
        <v>21.8</v>
      </c>
      <c r="L652" s="16">
        <v>125.0</v>
      </c>
    </row>
    <row r="653" ht="15.75" customHeight="1">
      <c r="A653" s="17" t="s">
        <v>16</v>
      </c>
      <c r="C653" s="20" t="s">
        <v>1261</v>
      </c>
      <c r="D653" s="20" t="s">
        <v>1322</v>
      </c>
      <c r="E653" s="20"/>
      <c r="F653" s="18" t="s">
        <v>1091</v>
      </c>
      <c r="G653" s="18" t="s">
        <v>19</v>
      </c>
      <c r="H653" s="4" t="str">
        <f t="shared" si="3"/>
        <v>1/SERVING</v>
      </c>
      <c r="I653" s="33">
        <v>1.0</v>
      </c>
      <c r="J653" s="36" t="s">
        <v>1100</v>
      </c>
      <c r="K653" s="16">
        <v>73.69</v>
      </c>
      <c r="L653" s="16">
        <v>195.0</v>
      </c>
    </row>
    <row r="654" ht="15.75" customHeight="1">
      <c r="A654" s="17" t="s">
        <v>16</v>
      </c>
      <c r="C654" s="20" t="s">
        <v>1323</v>
      </c>
      <c r="D654" s="20" t="s">
        <v>1324</v>
      </c>
      <c r="E654" s="20"/>
      <c r="F654" s="18" t="s">
        <v>1091</v>
      </c>
      <c r="G654" s="18" t="s">
        <v>19</v>
      </c>
      <c r="H654" s="4" t="str">
        <f t="shared" si="3"/>
        <v>1/SERVING</v>
      </c>
      <c r="I654" s="33">
        <v>1.0</v>
      </c>
      <c r="J654" s="36" t="s">
        <v>1100</v>
      </c>
      <c r="K654" s="16">
        <v>63.87</v>
      </c>
      <c r="L654" s="16">
        <v>195.0</v>
      </c>
    </row>
    <row r="655" ht="15.75" customHeight="1">
      <c r="A655" s="17" t="s">
        <v>16</v>
      </c>
      <c r="C655" s="20" t="s">
        <v>1325</v>
      </c>
      <c r="D655" s="20" t="s">
        <v>1326</v>
      </c>
      <c r="E655" s="20"/>
      <c r="F655" s="18" t="s">
        <v>1091</v>
      </c>
      <c r="G655" s="18" t="s">
        <v>19</v>
      </c>
      <c r="H655" s="4" t="str">
        <f t="shared" si="3"/>
        <v>1/SERVING</v>
      </c>
      <c r="I655" s="33">
        <v>1.0</v>
      </c>
      <c r="J655" s="36" t="s">
        <v>1100</v>
      </c>
      <c r="K655" s="16">
        <v>99.41</v>
      </c>
      <c r="L655" s="16">
        <v>375.0</v>
      </c>
    </row>
    <row r="656" ht="15.75" customHeight="1">
      <c r="A656" s="17" t="s">
        <v>16</v>
      </c>
      <c r="C656" s="20" t="s">
        <v>1327</v>
      </c>
      <c r="D656" s="20" t="s">
        <v>1328</v>
      </c>
      <c r="E656" s="20"/>
      <c r="F656" s="18" t="s">
        <v>1091</v>
      </c>
      <c r="G656" s="18" t="s">
        <v>19</v>
      </c>
      <c r="H656" s="4" t="str">
        <f t="shared" si="3"/>
        <v>1/SERVING</v>
      </c>
      <c r="I656" s="33">
        <v>1.0</v>
      </c>
      <c r="J656" s="36" t="s">
        <v>1100</v>
      </c>
      <c r="K656" s="16">
        <v>60.75</v>
      </c>
      <c r="L656" s="16">
        <v>295.0</v>
      </c>
    </row>
    <row r="657" ht="15.75" customHeight="1">
      <c r="A657" s="17" t="s">
        <v>16</v>
      </c>
      <c r="C657" s="20" t="s">
        <v>1329</v>
      </c>
      <c r="D657" s="20" t="s">
        <v>1330</v>
      </c>
      <c r="E657" s="20"/>
      <c r="F657" s="18" t="s">
        <v>1091</v>
      </c>
      <c r="G657" s="18" t="s">
        <v>19</v>
      </c>
      <c r="H657" s="4" t="str">
        <f t="shared" si="3"/>
        <v>1/SERVING</v>
      </c>
      <c r="I657" s="33">
        <v>1.0</v>
      </c>
      <c r="J657" s="36" t="s">
        <v>1100</v>
      </c>
      <c r="K657" s="16">
        <v>39.27</v>
      </c>
      <c r="L657" s="16">
        <v>185.0</v>
      </c>
    </row>
    <row r="658" ht="15.75" customHeight="1">
      <c r="A658" s="17" t="s">
        <v>16</v>
      </c>
      <c r="C658" s="20" t="s">
        <v>1331</v>
      </c>
      <c r="D658" s="20" t="s">
        <v>1332</v>
      </c>
      <c r="E658" s="20"/>
      <c r="F658" s="18" t="s">
        <v>1091</v>
      </c>
      <c r="G658" s="18" t="s">
        <v>19</v>
      </c>
      <c r="H658" s="4" t="str">
        <f t="shared" si="3"/>
        <v>1/SERVING</v>
      </c>
      <c r="I658" s="33">
        <v>1.0</v>
      </c>
      <c r="J658" s="36" t="s">
        <v>1100</v>
      </c>
      <c r="K658" s="16">
        <v>6.65</v>
      </c>
      <c r="L658" s="16">
        <v>45.0</v>
      </c>
    </row>
    <row r="659" ht="15.75" customHeight="1">
      <c r="A659" s="17" t="s">
        <v>16</v>
      </c>
      <c r="C659" s="20" t="s">
        <v>1333</v>
      </c>
      <c r="D659" s="20" t="s">
        <v>1334</v>
      </c>
      <c r="E659" s="20"/>
      <c r="F659" s="18" t="s">
        <v>1091</v>
      </c>
      <c r="G659" s="18" t="s">
        <v>19</v>
      </c>
      <c r="H659" s="4" t="str">
        <f t="shared" si="3"/>
        <v>1/SERVING</v>
      </c>
      <c r="I659" s="33">
        <v>1.0</v>
      </c>
      <c r="J659" s="36" t="s">
        <v>1100</v>
      </c>
      <c r="K659" s="16">
        <v>10.1</v>
      </c>
      <c r="L659" s="16">
        <v>65.0</v>
      </c>
    </row>
    <row r="660" ht="15.75" customHeight="1">
      <c r="A660" s="17" t="s">
        <v>16</v>
      </c>
      <c r="C660" s="20" t="s">
        <v>1335</v>
      </c>
      <c r="D660" s="20" t="s">
        <v>1336</v>
      </c>
      <c r="E660" s="20"/>
      <c r="F660" s="18" t="s">
        <v>1091</v>
      </c>
      <c r="G660" s="18" t="s">
        <v>19</v>
      </c>
      <c r="H660" s="4" t="str">
        <f t="shared" si="3"/>
        <v>1/SERVING</v>
      </c>
      <c r="I660" s="33">
        <v>1.0</v>
      </c>
      <c r="J660" s="36" t="s">
        <v>1100</v>
      </c>
      <c r="K660" s="16">
        <v>12.13</v>
      </c>
      <c r="L660" s="16">
        <v>65.0</v>
      </c>
    </row>
    <row r="661" ht="15.75" customHeight="1">
      <c r="A661" s="17" t="s">
        <v>16</v>
      </c>
      <c r="C661" s="20" t="s">
        <v>1337</v>
      </c>
      <c r="D661" s="20" t="s">
        <v>1338</v>
      </c>
      <c r="E661" s="20"/>
      <c r="F661" s="18" t="s">
        <v>1091</v>
      </c>
      <c r="G661" s="18" t="s">
        <v>19</v>
      </c>
      <c r="H661" s="4" t="str">
        <f t="shared" si="3"/>
        <v>1/SERVING</v>
      </c>
      <c r="I661" s="33">
        <v>1.0</v>
      </c>
      <c r="J661" s="36" t="s">
        <v>1100</v>
      </c>
      <c r="K661" s="16">
        <v>48.38</v>
      </c>
      <c r="L661" s="16">
        <v>125.0</v>
      </c>
    </row>
    <row r="662" ht="15.75" customHeight="1">
      <c r="A662" s="17" t="s">
        <v>16</v>
      </c>
      <c r="C662" s="20" t="s">
        <v>1339</v>
      </c>
      <c r="D662" s="20" t="s">
        <v>1340</v>
      </c>
      <c r="E662" s="20"/>
      <c r="F662" s="18" t="s">
        <v>1091</v>
      </c>
      <c r="G662" s="18" t="s">
        <v>19</v>
      </c>
      <c r="H662" s="4" t="str">
        <f t="shared" si="3"/>
        <v>1/SERVING</v>
      </c>
      <c r="I662" s="33">
        <v>1.0</v>
      </c>
      <c r="J662" s="36" t="s">
        <v>1100</v>
      </c>
      <c r="K662" s="16">
        <v>11.97</v>
      </c>
      <c r="L662" s="16">
        <v>65.0</v>
      </c>
    </row>
    <row r="663" ht="15.75" customHeight="1">
      <c r="A663" s="17" t="s">
        <v>16</v>
      </c>
      <c r="C663" s="20" t="s">
        <v>1132</v>
      </c>
      <c r="D663" s="20" t="s">
        <v>1341</v>
      </c>
      <c r="E663" s="20"/>
      <c r="F663" s="18" t="s">
        <v>1091</v>
      </c>
      <c r="G663" s="18" t="s">
        <v>19</v>
      </c>
      <c r="H663" s="4" t="str">
        <f t="shared" si="3"/>
        <v>1/SERVING</v>
      </c>
      <c r="I663" s="33">
        <v>1.0</v>
      </c>
      <c r="J663" s="36" t="s">
        <v>1100</v>
      </c>
      <c r="K663" s="16">
        <v>21.8</v>
      </c>
      <c r="L663" s="16">
        <v>125.0</v>
      </c>
    </row>
    <row r="664" ht="15.75" customHeight="1">
      <c r="A664" s="17" t="s">
        <v>16</v>
      </c>
      <c r="C664" s="20" t="s">
        <v>1342</v>
      </c>
      <c r="D664" s="20" t="s">
        <v>1343</v>
      </c>
      <c r="E664" s="20"/>
      <c r="F664" s="18" t="s">
        <v>1091</v>
      </c>
      <c r="G664" s="18" t="s">
        <v>19</v>
      </c>
      <c r="H664" s="4" t="str">
        <f t="shared" si="3"/>
        <v>1/SERVING</v>
      </c>
      <c r="I664" s="33">
        <v>1.0</v>
      </c>
      <c r="J664" s="36" t="s">
        <v>1100</v>
      </c>
      <c r="K664" s="16">
        <v>12.26</v>
      </c>
      <c r="L664" s="16">
        <v>35.0</v>
      </c>
    </row>
    <row r="665" ht="15.75" customHeight="1">
      <c r="A665" s="17" t="s">
        <v>16</v>
      </c>
      <c r="C665" s="20" t="s">
        <v>1344</v>
      </c>
      <c r="D665" s="20" t="s">
        <v>1345</v>
      </c>
      <c r="E665" s="20"/>
      <c r="F665" s="18" t="s">
        <v>1091</v>
      </c>
      <c r="G665" s="18" t="s">
        <v>19</v>
      </c>
      <c r="H665" s="4" t="str">
        <f t="shared" si="3"/>
        <v>1/SERVING</v>
      </c>
      <c r="I665" s="33">
        <v>1.0</v>
      </c>
      <c r="J665" s="36" t="s">
        <v>1100</v>
      </c>
      <c r="K665" s="16">
        <v>13.22</v>
      </c>
      <c r="L665" s="16">
        <v>55.0</v>
      </c>
    </row>
    <row r="666" ht="15.75" customHeight="1">
      <c r="A666" s="17" t="s">
        <v>16</v>
      </c>
      <c r="C666" s="20" t="s">
        <v>1346</v>
      </c>
      <c r="D666" s="20" t="s">
        <v>1347</v>
      </c>
      <c r="E666" s="20"/>
      <c r="F666" s="18" t="s">
        <v>1091</v>
      </c>
      <c r="G666" s="18" t="s">
        <v>19</v>
      </c>
      <c r="H666" s="4" t="str">
        <f t="shared" si="3"/>
        <v>1/SERVING</v>
      </c>
      <c r="I666" s="33">
        <v>1.0</v>
      </c>
      <c r="J666" s="36" t="s">
        <v>1100</v>
      </c>
      <c r="K666" s="16">
        <v>29.0</v>
      </c>
      <c r="L666" s="16">
        <v>95.0</v>
      </c>
    </row>
    <row r="667" ht="15.75" customHeight="1">
      <c r="A667" s="17" t="s">
        <v>16</v>
      </c>
      <c r="C667" s="20" t="s">
        <v>1348</v>
      </c>
      <c r="D667" s="20" t="s">
        <v>1349</v>
      </c>
      <c r="E667" s="20"/>
      <c r="F667" s="18" t="s">
        <v>1091</v>
      </c>
      <c r="G667" s="18" t="s">
        <v>19</v>
      </c>
      <c r="H667" s="4" t="str">
        <f t="shared" si="3"/>
        <v>1/SERVING</v>
      </c>
      <c r="I667" s="33">
        <v>1.0</v>
      </c>
      <c r="J667" s="36" t="s">
        <v>1100</v>
      </c>
      <c r="K667" s="16">
        <v>14.81</v>
      </c>
      <c r="L667" s="16">
        <v>75.0</v>
      </c>
    </row>
    <row r="668" ht="15.75" customHeight="1">
      <c r="A668" s="17" t="s">
        <v>16</v>
      </c>
      <c r="C668" s="20" t="s">
        <v>1350</v>
      </c>
      <c r="D668" s="20" t="s">
        <v>1351</v>
      </c>
      <c r="E668" s="20"/>
      <c r="F668" s="18" t="s">
        <v>1091</v>
      </c>
      <c r="G668" s="18" t="s">
        <v>19</v>
      </c>
      <c r="H668" s="4" t="str">
        <f t="shared" si="3"/>
        <v>1/SERVING</v>
      </c>
      <c r="I668" s="33">
        <v>1.0</v>
      </c>
      <c r="J668" s="36" t="s">
        <v>1100</v>
      </c>
      <c r="K668" s="16">
        <v>6.0</v>
      </c>
      <c r="L668" s="16"/>
    </row>
    <row r="669" ht="15.75" customHeight="1">
      <c r="A669" s="17" t="s">
        <v>16</v>
      </c>
      <c r="C669" s="20" t="s">
        <v>1352</v>
      </c>
      <c r="D669" s="20" t="s">
        <v>1353</v>
      </c>
      <c r="E669" s="20"/>
      <c r="F669" s="18" t="s">
        <v>1091</v>
      </c>
      <c r="G669" s="18" t="s">
        <v>19</v>
      </c>
      <c r="H669" s="4" t="str">
        <f t="shared" si="3"/>
        <v>1/SERVING</v>
      </c>
      <c r="I669" s="33">
        <v>1.0</v>
      </c>
      <c r="J669" s="36" t="s">
        <v>1100</v>
      </c>
      <c r="K669" s="16">
        <v>25.0</v>
      </c>
      <c r="L669" s="16"/>
    </row>
    <row r="670" ht="15.75" customHeight="1">
      <c r="A670" s="17" t="s">
        <v>16</v>
      </c>
      <c r="C670" s="20" t="s">
        <v>1354</v>
      </c>
      <c r="D670" s="20" t="s">
        <v>1355</v>
      </c>
      <c r="E670" s="20"/>
      <c r="F670" s="18" t="s">
        <v>1091</v>
      </c>
      <c r="G670" s="18" t="s">
        <v>19</v>
      </c>
      <c r="H670" s="4" t="str">
        <f t="shared" si="3"/>
        <v>1/SERVING</v>
      </c>
      <c r="I670" s="33">
        <v>1.0</v>
      </c>
      <c r="J670" s="36" t="s">
        <v>1100</v>
      </c>
      <c r="K670" s="16">
        <v>7.73</v>
      </c>
      <c r="L670" s="16"/>
    </row>
    <row r="671" ht="15.75" customHeight="1">
      <c r="A671" s="17" t="s">
        <v>16</v>
      </c>
      <c r="C671" s="20" t="s">
        <v>1356</v>
      </c>
      <c r="D671" s="20" t="s">
        <v>1357</v>
      </c>
      <c r="E671" s="20"/>
      <c r="F671" s="18" t="s">
        <v>1091</v>
      </c>
      <c r="G671" s="18" t="s">
        <v>19</v>
      </c>
      <c r="H671" s="4" t="str">
        <f t="shared" si="3"/>
        <v>1/SERVING</v>
      </c>
      <c r="I671" s="33">
        <v>1.0</v>
      </c>
      <c r="J671" s="36" t="s">
        <v>1100</v>
      </c>
      <c r="K671" s="16">
        <v>19.0</v>
      </c>
      <c r="L671" s="16"/>
    </row>
    <row r="672" ht="15.75" customHeight="1">
      <c r="A672" s="17" t="s">
        <v>16</v>
      </c>
      <c r="C672" s="20" t="s">
        <v>1358</v>
      </c>
      <c r="D672" s="20" t="s">
        <v>1359</v>
      </c>
      <c r="E672" s="20"/>
      <c r="F672" s="18" t="s">
        <v>1091</v>
      </c>
      <c r="G672" s="18" t="s">
        <v>19</v>
      </c>
      <c r="H672" s="4" t="str">
        <f t="shared" si="3"/>
        <v>1/SERVING</v>
      </c>
      <c r="I672" s="33">
        <v>1.0</v>
      </c>
      <c r="J672" s="36" t="s">
        <v>1100</v>
      </c>
      <c r="K672" s="16">
        <v>72.84</v>
      </c>
      <c r="L672" s="16">
        <v>245.0</v>
      </c>
    </row>
    <row r="673" ht="15.75" customHeight="1">
      <c r="A673" s="17" t="s">
        <v>16</v>
      </c>
      <c r="C673" s="20" t="s">
        <v>1360</v>
      </c>
      <c r="D673" s="20" t="s">
        <v>1361</v>
      </c>
      <c r="E673" s="20"/>
      <c r="F673" s="18" t="s">
        <v>1091</v>
      </c>
      <c r="G673" s="18" t="s">
        <v>19</v>
      </c>
      <c r="H673" s="4" t="str">
        <f t="shared" si="3"/>
        <v>1/SERVING</v>
      </c>
      <c r="I673" s="33">
        <v>1.0</v>
      </c>
      <c r="J673" s="36" t="s">
        <v>1100</v>
      </c>
      <c r="K673" s="16">
        <v>43.49</v>
      </c>
      <c r="L673" s="16">
        <v>225.0</v>
      </c>
    </row>
    <row r="674" ht="15.75" customHeight="1">
      <c r="A674" s="17" t="s">
        <v>16</v>
      </c>
      <c r="C674" s="20" t="s">
        <v>1362</v>
      </c>
      <c r="D674" s="20" t="s">
        <v>1363</v>
      </c>
      <c r="E674" s="20"/>
      <c r="F674" s="18" t="s">
        <v>1091</v>
      </c>
      <c r="G674" s="18" t="s">
        <v>19</v>
      </c>
      <c r="H674" s="4" t="str">
        <f t="shared" si="3"/>
        <v>1/SERVING</v>
      </c>
      <c r="I674" s="33">
        <v>1.0</v>
      </c>
      <c r="J674" s="36" t="s">
        <v>1100</v>
      </c>
      <c r="K674" s="16">
        <v>49.88</v>
      </c>
      <c r="L674" s="16">
        <v>175.0</v>
      </c>
    </row>
    <row r="675" ht="15.75" customHeight="1">
      <c r="A675" s="17" t="s">
        <v>16</v>
      </c>
      <c r="C675" s="20" t="s">
        <v>1364</v>
      </c>
      <c r="D675" s="20" t="s">
        <v>1365</v>
      </c>
      <c r="E675" s="20"/>
      <c r="F675" s="18" t="s">
        <v>1091</v>
      </c>
      <c r="G675" s="18" t="s">
        <v>19</v>
      </c>
      <c r="H675" s="4" t="str">
        <f t="shared" si="3"/>
        <v>1/SERVING</v>
      </c>
      <c r="I675" s="33">
        <v>1.0</v>
      </c>
      <c r="J675" s="36" t="s">
        <v>1100</v>
      </c>
      <c r="K675" s="16">
        <v>84.4</v>
      </c>
      <c r="L675" s="16">
        <v>355.0</v>
      </c>
    </row>
    <row r="676" ht="15.75" customHeight="1">
      <c r="A676" s="17" t="s">
        <v>16</v>
      </c>
      <c r="C676" s="20" t="s">
        <v>1366</v>
      </c>
      <c r="D676" s="20" t="s">
        <v>1367</v>
      </c>
      <c r="E676" s="20"/>
      <c r="F676" s="18" t="s">
        <v>1091</v>
      </c>
      <c r="G676" s="18" t="s">
        <v>19</v>
      </c>
      <c r="H676" s="4" t="str">
        <f t="shared" si="3"/>
        <v>1/SERVING</v>
      </c>
      <c r="I676" s="33">
        <v>1.0</v>
      </c>
      <c r="J676" s="36" t="s">
        <v>1100</v>
      </c>
      <c r="K676" s="16">
        <v>93.11</v>
      </c>
      <c r="L676" s="16">
        <v>275.0</v>
      </c>
    </row>
    <row r="677" ht="15.75" customHeight="1">
      <c r="A677" s="17" t="s">
        <v>16</v>
      </c>
      <c r="C677" s="20" t="s">
        <v>1368</v>
      </c>
      <c r="D677" s="20" t="s">
        <v>1369</v>
      </c>
      <c r="E677" s="20"/>
      <c r="F677" s="18" t="s">
        <v>1091</v>
      </c>
      <c r="G677" s="18" t="s">
        <v>19</v>
      </c>
      <c r="H677" s="4" t="str">
        <f t="shared" si="3"/>
        <v>1/SERVING</v>
      </c>
      <c r="I677" s="33">
        <v>1.0</v>
      </c>
      <c r="J677" s="36" t="s">
        <v>1100</v>
      </c>
      <c r="K677" s="16">
        <v>46.37</v>
      </c>
      <c r="L677" s="16">
        <v>245.0</v>
      </c>
    </row>
    <row r="678" ht="15.75" customHeight="1">
      <c r="A678" s="17" t="s">
        <v>16</v>
      </c>
      <c r="C678" s="20" t="s">
        <v>1370</v>
      </c>
      <c r="D678" s="20" t="s">
        <v>1371</v>
      </c>
      <c r="E678" s="20"/>
      <c r="F678" s="18" t="s">
        <v>1091</v>
      </c>
      <c r="G678" s="18" t="s">
        <v>19</v>
      </c>
      <c r="H678" s="4" t="str">
        <f t="shared" si="3"/>
        <v>1/SERVING</v>
      </c>
      <c r="I678" s="33">
        <v>1.0</v>
      </c>
      <c r="J678" s="36" t="s">
        <v>1100</v>
      </c>
      <c r="K678" s="16">
        <v>33.05</v>
      </c>
      <c r="L678" s="16">
        <v>195.0</v>
      </c>
    </row>
    <row r="679" ht="15.75" customHeight="1">
      <c r="A679" s="17" t="s">
        <v>16</v>
      </c>
      <c r="C679" s="20" t="s">
        <v>1372</v>
      </c>
      <c r="D679" s="20" t="s">
        <v>1373</v>
      </c>
      <c r="E679" s="20"/>
      <c r="F679" s="18" t="s">
        <v>1091</v>
      </c>
      <c r="G679" s="18" t="s">
        <v>19</v>
      </c>
      <c r="H679" s="4" t="str">
        <f t="shared" si="3"/>
        <v>1/SERVING</v>
      </c>
      <c r="I679" s="33">
        <v>1.0</v>
      </c>
      <c r="J679" s="36" t="s">
        <v>1100</v>
      </c>
      <c r="K679" s="16">
        <v>94.34</v>
      </c>
      <c r="L679" s="16">
        <v>225.0</v>
      </c>
    </row>
    <row r="680" ht="15.75" customHeight="1">
      <c r="A680" s="17" t="s">
        <v>16</v>
      </c>
      <c r="C680" s="20" t="s">
        <v>1374</v>
      </c>
      <c r="D680" s="20" t="s">
        <v>1375</v>
      </c>
      <c r="E680" s="20"/>
      <c r="F680" s="18" t="s">
        <v>1091</v>
      </c>
      <c r="G680" s="18" t="s">
        <v>19</v>
      </c>
      <c r="H680" s="4" t="str">
        <f t="shared" si="3"/>
        <v>1/SERVING</v>
      </c>
      <c r="I680" s="33">
        <v>1.0</v>
      </c>
      <c r="J680" s="36" t="s">
        <v>1100</v>
      </c>
      <c r="K680" s="16">
        <v>251.97</v>
      </c>
      <c r="L680" s="16">
        <v>1095.0</v>
      </c>
    </row>
    <row r="681" ht="15.75" customHeight="1">
      <c r="A681" s="17" t="s">
        <v>16</v>
      </c>
      <c r="C681" s="20" t="s">
        <v>1376</v>
      </c>
      <c r="D681" s="20" t="s">
        <v>1377</v>
      </c>
      <c r="E681" s="20"/>
      <c r="F681" s="18" t="s">
        <v>1091</v>
      </c>
      <c r="G681" s="18" t="s">
        <v>19</v>
      </c>
      <c r="H681" s="4" t="str">
        <f t="shared" si="3"/>
        <v>1/SERVING</v>
      </c>
      <c r="I681" s="33">
        <v>1.0</v>
      </c>
      <c r="J681" s="36" t="s">
        <v>1100</v>
      </c>
      <c r="K681" s="16">
        <v>364.97</v>
      </c>
      <c r="L681" s="16">
        <v>925.0</v>
      </c>
    </row>
    <row r="682" ht="15.75" customHeight="1">
      <c r="A682" s="17" t="s">
        <v>16</v>
      </c>
      <c r="C682" s="20" t="s">
        <v>1378</v>
      </c>
      <c r="D682" s="20" t="s">
        <v>1379</v>
      </c>
      <c r="E682" s="20"/>
      <c r="F682" s="18" t="s">
        <v>1091</v>
      </c>
      <c r="G682" s="18" t="s">
        <v>19</v>
      </c>
      <c r="H682" s="4" t="str">
        <f t="shared" si="3"/>
        <v>1/SERVING</v>
      </c>
      <c r="I682" s="33">
        <v>1.0</v>
      </c>
      <c r="J682" s="36" t="s">
        <v>1100</v>
      </c>
      <c r="K682" s="16">
        <v>458.09</v>
      </c>
      <c r="L682" s="16">
        <v>1185.0</v>
      </c>
    </row>
    <row r="683" ht="15.75" customHeight="1">
      <c r="A683" s="17" t="s">
        <v>16</v>
      </c>
      <c r="C683" s="20" t="s">
        <v>1380</v>
      </c>
      <c r="D683" s="20" t="s">
        <v>1381</v>
      </c>
      <c r="E683" s="20"/>
      <c r="F683" s="18" t="s">
        <v>1091</v>
      </c>
      <c r="G683" s="18" t="s">
        <v>19</v>
      </c>
      <c r="H683" s="4" t="str">
        <f t="shared" si="3"/>
        <v>1/SERVING</v>
      </c>
      <c r="I683" s="33">
        <v>1.0</v>
      </c>
      <c r="J683" s="36" t="s">
        <v>1100</v>
      </c>
      <c r="K683" s="16">
        <v>1705.68</v>
      </c>
      <c r="L683" s="16">
        <v>3995.0</v>
      </c>
    </row>
    <row r="684" ht="15.75" customHeight="1">
      <c r="A684" s="17" t="s">
        <v>16</v>
      </c>
      <c r="C684" s="20" t="s">
        <v>1382</v>
      </c>
      <c r="D684" s="20" t="s">
        <v>1383</v>
      </c>
      <c r="E684" s="20"/>
      <c r="F684" s="18" t="s">
        <v>1091</v>
      </c>
      <c r="G684" s="18" t="s">
        <v>19</v>
      </c>
      <c r="H684" s="4" t="str">
        <f t="shared" si="3"/>
        <v>1/SERVING</v>
      </c>
      <c r="I684" s="33">
        <v>1.0</v>
      </c>
      <c r="J684" s="36" t="s">
        <v>1100</v>
      </c>
      <c r="K684" s="16">
        <v>596.87</v>
      </c>
      <c r="L684" s="16">
        <v>1985.0</v>
      </c>
    </row>
    <row r="685" ht="15.75" customHeight="1">
      <c r="A685" s="17" t="s">
        <v>16</v>
      </c>
      <c r="C685" s="20" t="s">
        <v>1384</v>
      </c>
      <c r="D685" s="20" t="s">
        <v>1385</v>
      </c>
      <c r="E685" s="20"/>
      <c r="F685" s="18" t="s">
        <v>1091</v>
      </c>
      <c r="G685" s="18" t="s">
        <v>19</v>
      </c>
      <c r="H685" s="4" t="str">
        <f t="shared" si="3"/>
        <v>1/SERVING</v>
      </c>
      <c r="I685" s="33">
        <v>1.0</v>
      </c>
      <c r="J685" s="36" t="s">
        <v>1100</v>
      </c>
      <c r="K685" s="16">
        <v>711.81</v>
      </c>
      <c r="L685" s="16">
        <v>2685.0</v>
      </c>
    </row>
    <row r="686" ht="15.75" customHeight="1">
      <c r="A686" s="17" t="s">
        <v>16</v>
      </c>
      <c r="C686" s="20" t="s">
        <v>1386</v>
      </c>
      <c r="D686" s="20" t="s">
        <v>1387</v>
      </c>
      <c r="E686" s="20"/>
      <c r="F686" s="18" t="s">
        <v>1091</v>
      </c>
      <c r="G686" s="18" t="s">
        <v>19</v>
      </c>
      <c r="H686" s="4" t="str">
        <f t="shared" si="3"/>
        <v>1/SERVING</v>
      </c>
      <c r="I686" s="33">
        <v>1.0</v>
      </c>
      <c r="J686" s="36" t="s">
        <v>1100</v>
      </c>
      <c r="K686" s="16">
        <v>944.64</v>
      </c>
      <c r="L686" s="16">
        <v>2355.0</v>
      </c>
    </row>
    <row r="687" ht="15.75" customHeight="1">
      <c r="A687" s="17" t="s">
        <v>16</v>
      </c>
      <c r="C687" s="20" t="s">
        <v>1388</v>
      </c>
      <c r="D687" s="20" t="s">
        <v>1389</v>
      </c>
      <c r="E687" s="20"/>
      <c r="F687" s="18" t="s">
        <v>1091</v>
      </c>
      <c r="G687" s="18" t="s">
        <v>19</v>
      </c>
      <c r="H687" s="4" t="str">
        <f t="shared" si="3"/>
        <v>1/SERVING</v>
      </c>
      <c r="I687" s="33">
        <v>1.0</v>
      </c>
      <c r="J687" s="36" t="s">
        <v>1100</v>
      </c>
      <c r="K687" s="16">
        <v>718.94</v>
      </c>
      <c r="L687" s="16">
        <v>2355.0</v>
      </c>
    </row>
    <row r="688" ht="15.75" customHeight="1">
      <c r="A688" s="17" t="s">
        <v>16</v>
      </c>
      <c r="C688" s="20" t="s">
        <v>1390</v>
      </c>
      <c r="D688" s="20" t="s">
        <v>1391</v>
      </c>
      <c r="E688" s="20"/>
      <c r="F688" s="18" t="s">
        <v>1091</v>
      </c>
      <c r="G688" s="18" t="s">
        <v>19</v>
      </c>
      <c r="H688" s="4" t="str">
        <f t="shared" si="3"/>
        <v>1/SERVING</v>
      </c>
      <c r="I688" s="33">
        <v>1.0</v>
      </c>
      <c r="J688" s="36" t="s">
        <v>1100</v>
      </c>
      <c r="K688" s="16">
        <v>473.24</v>
      </c>
      <c r="L688" s="16">
        <v>1385.0</v>
      </c>
    </row>
    <row r="689" ht="15.75" customHeight="1">
      <c r="A689" s="17" t="s">
        <v>16</v>
      </c>
      <c r="C689" s="20" t="s">
        <v>1392</v>
      </c>
      <c r="D689" s="20" t="s">
        <v>1393</v>
      </c>
      <c r="E689" s="20"/>
      <c r="F689" s="18" t="s">
        <v>1091</v>
      </c>
      <c r="G689" s="18" t="s">
        <v>19</v>
      </c>
      <c r="H689" s="4" t="str">
        <f t="shared" si="3"/>
        <v>1/SERVING</v>
      </c>
      <c r="I689" s="33">
        <v>1.0</v>
      </c>
      <c r="J689" s="36" t="s">
        <v>1100</v>
      </c>
      <c r="K689" s="16">
        <v>450.27</v>
      </c>
      <c r="L689" s="16">
        <v>1385.0</v>
      </c>
    </row>
    <row r="690" ht="15.75" customHeight="1">
      <c r="A690" s="17" t="s">
        <v>16</v>
      </c>
      <c r="C690" s="20" t="s">
        <v>1394</v>
      </c>
      <c r="D690" s="20" t="s">
        <v>1395</v>
      </c>
      <c r="E690" s="20"/>
      <c r="F690" s="18" t="s">
        <v>1091</v>
      </c>
      <c r="G690" s="18" t="s">
        <v>19</v>
      </c>
      <c r="H690" s="4" t="str">
        <f t="shared" si="3"/>
        <v>1/SERVING</v>
      </c>
      <c r="I690" s="33">
        <v>1.0</v>
      </c>
      <c r="J690" s="36" t="s">
        <v>1100</v>
      </c>
      <c r="K690" s="16">
        <v>706.97</v>
      </c>
      <c r="L690" s="16">
        <v>1855.0</v>
      </c>
    </row>
    <row r="691" ht="15.75" customHeight="1">
      <c r="A691" s="17" t="s">
        <v>16</v>
      </c>
      <c r="C691" s="20" t="s">
        <v>1396</v>
      </c>
      <c r="D691" s="20" t="s">
        <v>1397</v>
      </c>
      <c r="E691" s="20"/>
      <c r="F691" s="18" t="s">
        <v>1091</v>
      </c>
      <c r="G691" s="18" t="s">
        <v>19</v>
      </c>
      <c r="H691" s="4" t="str">
        <f t="shared" si="3"/>
        <v>1/SERVING</v>
      </c>
      <c r="I691" s="33">
        <v>1.0</v>
      </c>
      <c r="J691" s="36" t="s">
        <v>1100</v>
      </c>
      <c r="K691" s="16">
        <v>27.27</v>
      </c>
      <c r="L691" s="16">
        <v>175.0</v>
      </c>
    </row>
    <row r="692" ht="15.75" customHeight="1">
      <c r="A692" s="17" t="s">
        <v>16</v>
      </c>
      <c r="C692" s="20" t="s">
        <v>1398</v>
      </c>
      <c r="D692" s="20" t="s">
        <v>1399</v>
      </c>
      <c r="E692" s="20"/>
      <c r="F692" s="18" t="s">
        <v>1091</v>
      </c>
      <c r="G692" s="18" t="s">
        <v>19</v>
      </c>
      <c r="H692" s="4" t="str">
        <f t="shared" si="3"/>
        <v>1/SERVING</v>
      </c>
      <c r="I692" s="33">
        <v>1.0</v>
      </c>
      <c r="J692" s="36" t="s">
        <v>1100</v>
      </c>
      <c r="K692" s="16">
        <v>18.04</v>
      </c>
      <c r="L692" s="16">
        <v>175.0</v>
      </c>
    </row>
    <row r="693" ht="15.75" customHeight="1">
      <c r="A693" s="17" t="s">
        <v>16</v>
      </c>
      <c r="C693" s="20" t="s">
        <v>1400</v>
      </c>
      <c r="D693" s="20" t="s">
        <v>1401</v>
      </c>
      <c r="E693" s="20"/>
      <c r="F693" s="18" t="s">
        <v>1091</v>
      </c>
      <c r="G693" s="18" t="s">
        <v>19</v>
      </c>
      <c r="H693" s="4" t="str">
        <f t="shared" si="3"/>
        <v>1/SERVING</v>
      </c>
      <c r="I693" s="33">
        <v>1.0</v>
      </c>
      <c r="J693" s="36" t="s">
        <v>1100</v>
      </c>
      <c r="K693" s="16">
        <v>42.65</v>
      </c>
      <c r="L693" s="16">
        <v>175.0</v>
      </c>
    </row>
    <row r="694" ht="15.75" customHeight="1">
      <c r="A694" s="17" t="s">
        <v>16</v>
      </c>
      <c r="C694" s="20" t="s">
        <v>1402</v>
      </c>
      <c r="D694" s="20" t="s">
        <v>1403</v>
      </c>
      <c r="E694" s="20"/>
      <c r="F694" s="18" t="s">
        <v>1091</v>
      </c>
      <c r="G694" s="18" t="s">
        <v>19</v>
      </c>
      <c r="H694" s="4" t="str">
        <f t="shared" si="3"/>
        <v>1/SERVING</v>
      </c>
      <c r="I694" s="33">
        <v>1.0</v>
      </c>
      <c r="J694" s="36" t="s">
        <v>1100</v>
      </c>
      <c r="K694" s="16">
        <v>37.07</v>
      </c>
      <c r="L694" s="16">
        <v>175.0</v>
      </c>
    </row>
    <row r="695" ht="15.75" customHeight="1">
      <c r="A695" s="17" t="s">
        <v>16</v>
      </c>
      <c r="C695" s="20" t="s">
        <v>1404</v>
      </c>
      <c r="D695" s="20" t="s">
        <v>1405</v>
      </c>
      <c r="E695" s="20"/>
      <c r="F695" s="18" t="s">
        <v>1091</v>
      </c>
      <c r="G695" s="18" t="s">
        <v>19</v>
      </c>
      <c r="H695" s="4" t="str">
        <f t="shared" si="3"/>
        <v>1/SERVING</v>
      </c>
      <c r="I695" s="33">
        <v>1.0</v>
      </c>
      <c r="J695" s="36" t="s">
        <v>1100</v>
      </c>
      <c r="K695" s="16">
        <v>30.36</v>
      </c>
      <c r="L695" s="16">
        <v>175.0</v>
      </c>
    </row>
    <row r="696" ht="15.75" customHeight="1">
      <c r="A696" s="17" t="s">
        <v>16</v>
      </c>
      <c r="C696" s="20" t="s">
        <v>1406</v>
      </c>
      <c r="D696" s="20" t="s">
        <v>1407</v>
      </c>
      <c r="E696" s="20"/>
      <c r="F696" s="18" t="s">
        <v>1091</v>
      </c>
      <c r="G696" s="18" t="s">
        <v>19</v>
      </c>
      <c r="H696" s="4" t="str">
        <f t="shared" si="3"/>
        <v>1/SERVING</v>
      </c>
      <c r="I696" s="33">
        <v>1.0</v>
      </c>
      <c r="J696" s="36" t="s">
        <v>1100</v>
      </c>
      <c r="K696" s="16">
        <v>21.25</v>
      </c>
      <c r="L696" s="16">
        <v>165.0</v>
      </c>
    </row>
    <row r="697" ht="15.75" customHeight="1">
      <c r="A697" s="17" t="s">
        <v>16</v>
      </c>
      <c r="C697" s="20" t="s">
        <v>1408</v>
      </c>
      <c r="D697" s="20" t="s">
        <v>1409</v>
      </c>
      <c r="E697" s="20"/>
      <c r="F697" s="18" t="s">
        <v>1091</v>
      </c>
      <c r="G697" s="18" t="s">
        <v>19</v>
      </c>
      <c r="H697" s="4" t="str">
        <f t="shared" si="3"/>
        <v>1/SERVING</v>
      </c>
      <c r="I697" s="33">
        <v>1.0</v>
      </c>
      <c r="J697" s="36" t="s">
        <v>1100</v>
      </c>
      <c r="K697" s="16">
        <v>9.51</v>
      </c>
      <c r="L697" s="16"/>
    </row>
    <row r="698" ht="15.75" customHeight="1">
      <c r="A698" s="17" t="s">
        <v>16</v>
      </c>
      <c r="C698" s="20" t="s">
        <v>1410</v>
      </c>
      <c r="D698" s="20" t="s">
        <v>1411</v>
      </c>
      <c r="E698" s="20"/>
      <c r="F698" s="18" t="s">
        <v>1091</v>
      </c>
      <c r="G698" s="18" t="s">
        <v>19</v>
      </c>
      <c r="H698" s="4" t="str">
        <f t="shared" si="3"/>
        <v>1/SERVING</v>
      </c>
      <c r="I698" s="33">
        <v>1.0</v>
      </c>
      <c r="J698" s="36" t="s">
        <v>1100</v>
      </c>
      <c r="K698" s="16">
        <v>25.18</v>
      </c>
      <c r="L698" s="16">
        <v>185.0</v>
      </c>
    </row>
    <row r="699" ht="15.75" customHeight="1">
      <c r="A699" s="17" t="s">
        <v>16</v>
      </c>
      <c r="C699" s="20" t="s">
        <v>1412</v>
      </c>
      <c r="D699" s="20" t="s">
        <v>1413</v>
      </c>
      <c r="E699" s="20"/>
      <c r="F699" s="18" t="s">
        <v>1091</v>
      </c>
      <c r="G699" s="18" t="s">
        <v>19</v>
      </c>
      <c r="H699" s="4" t="str">
        <f t="shared" si="3"/>
        <v>1/SERVING</v>
      </c>
      <c r="I699" s="33">
        <v>1.0</v>
      </c>
      <c r="J699" s="36" t="s">
        <v>1100</v>
      </c>
      <c r="K699" s="16">
        <v>25.18</v>
      </c>
      <c r="L699" s="16">
        <v>185.0</v>
      </c>
    </row>
    <row r="700" ht="15.75" customHeight="1">
      <c r="A700" s="17" t="s">
        <v>16</v>
      </c>
      <c r="C700" s="20" t="s">
        <v>1414</v>
      </c>
      <c r="D700" s="20" t="s">
        <v>1415</v>
      </c>
      <c r="E700" s="20"/>
      <c r="F700" s="18" t="s">
        <v>1091</v>
      </c>
      <c r="G700" s="18" t="s">
        <v>19</v>
      </c>
      <c r="H700" s="4" t="str">
        <f t="shared" si="3"/>
        <v>1/SERVING</v>
      </c>
      <c r="I700" s="33">
        <v>1.0</v>
      </c>
      <c r="J700" s="36" t="s">
        <v>1100</v>
      </c>
      <c r="K700" s="16">
        <v>26.14</v>
      </c>
      <c r="L700" s="16">
        <v>135.0</v>
      </c>
    </row>
    <row r="701" ht="15.75" customHeight="1">
      <c r="A701" s="17" t="s">
        <v>16</v>
      </c>
      <c r="C701" s="20" t="s">
        <v>1416</v>
      </c>
      <c r="D701" s="20" t="s">
        <v>1417</v>
      </c>
      <c r="E701" s="20"/>
      <c r="F701" s="18" t="s">
        <v>1091</v>
      </c>
      <c r="G701" s="18" t="s">
        <v>19</v>
      </c>
      <c r="H701" s="4" t="str">
        <f t="shared" si="3"/>
        <v>1/SERVING</v>
      </c>
      <c r="I701" s="33">
        <v>1.0</v>
      </c>
      <c r="J701" s="36" t="s">
        <v>1100</v>
      </c>
      <c r="K701" s="16">
        <v>26.14</v>
      </c>
      <c r="L701" s="16"/>
    </row>
    <row r="702" ht="15.75" customHeight="1">
      <c r="A702" s="17" t="s">
        <v>16</v>
      </c>
      <c r="C702" s="20" t="s">
        <v>1418</v>
      </c>
      <c r="D702" s="20" t="s">
        <v>1419</v>
      </c>
      <c r="E702" s="20"/>
      <c r="F702" s="18" t="s">
        <v>1091</v>
      </c>
      <c r="G702" s="18" t="s">
        <v>19</v>
      </c>
      <c r="H702" s="4" t="str">
        <f t="shared" si="3"/>
        <v>1/SERVING</v>
      </c>
      <c r="I702" s="33">
        <v>1.0</v>
      </c>
      <c r="J702" s="36" t="s">
        <v>1100</v>
      </c>
      <c r="K702" s="16">
        <v>53.97</v>
      </c>
      <c r="L702" s="16"/>
    </row>
    <row r="703" ht="15.75" customHeight="1">
      <c r="A703" s="17" t="s">
        <v>16</v>
      </c>
      <c r="C703" s="20" t="s">
        <v>1420</v>
      </c>
      <c r="D703" s="20" t="s">
        <v>1421</v>
      </c>
      <c r="E703" s="20"/>
      <c r="F703" s="18" t="s">
        <v>1091</v>
      </c>
      <c r="G703" s="18" t="s">
        <v>19</v>
      </c>
      <c r="H703" s="4" t="str">
        <f t="shared" si="3"/>
        <v>1/SERVING</v>
      </c>
      <c r="I703" s="33">
        <v>1.0</v>
      </c>
      <c r="J703" s="36" t="s">
        <v>1100</v>
      </c>
      <c r="K703" s="16">
        <v>40.15</v>
      </c>
      <c r="L703" s="16">
        <v>165.0</v>
      </c>
    </row>
    <row r="704" ht="15.75" customHeight="1">
      <c r="A704" s="17" t="s">
        <v>16</v>
      </c>
      <c r="C704" s="20" t="s">
        <v>1422</v>
      </c>
      <c r="D704" s="20" t="s">
        <v>1423</v>
      </c>
      <c r="E704" s="20"/>
      <c r="F704" s="18" t="s">
        <v>1091</v>
      </c>
      <c r="G704" s="18" t="s">
        <v>19</v>
      </c>
      <c r="H704" s="4" t="str">
        <f t="shared" si="3"/>
        <v>1/SERVING</v>
      </c>
      <c r="I704" s="33">
        <v>1.0</v>
      </c>
      <c r="J704" s="36" t="s">
        <v>1100</v>
      </c>
      <c r="K704" s="16">
        <v>35.48</v>
      </c>
      <c r="L704" s="16">
        <v>135.0</v>
      </c>
    </row>
    <row r="705" ht="15.75" customHeight="1">
      <c r="A705" s="17" t="s">
        <v>16</v>
      </c>
      <c r="C705" s="20" t="s">
        <v>1424</v>
      </c>
      <c r="D705" s="20" t="s">
        <v>1425</v>
      </c>
      <c r="E705" s="20"/>
      <c r="F705" s="18" t="s">
        <v>1091</v>
      </c>
      <c r="G705" s="18" t="s">
        <v>19</v>
      </c>
      <c r="H705" s="4" t="str">
        <f t="shared" si="3"/>
        <v>1/SERVING</v>
      </c>
      <c r="I705" s="33">
        <v>1.0</v>
      </c>
      <c r="J705" s="36" t="s">
        <v>1100</v>
      </c>
      <c r="K705" s="16">
        <v>37.81</v>
      </c>
      <c r="L705" s="16">
        <v>155.0</v>
      </c>
    </row>
    <row r="706" ht="15.75" customHeight="1">
      <c r="A706" s="17" t="s">
        <v>16</v>
      </c>
      <c r="C706" s="20" t="s">
        <v>1426</v>
      </c>
      <c r="D706" s="20" t="s">
        <v>1427</v>
      </c>
      <c r="E706" s="20"/>
      <c r="F706" s="18" t="s">
        <v>1091</v>
      </c>
      <c r="G706" s="18" t="s">
        <v>19</v>
      </c>
      <c r="H706" s="4" t="str">
        <f t="shared" si="3"/>
        <v>1/SERVING</v>
      </c>
      <c r="I706" s="33">
        <v>1.0</v>
      </c>
      <c r="J706" s="36" t="s">
        <v>1100</v>
      </c>
      <c r="K706" s="16">
        <v>23.11</v>
      </c>
      <c r="L706" s="16">
        <v>155.0</v>
      </c>
    </row>
    <row r="707" ht="15.75" customHeight="1">
      <c r="A707" s="17" t="s">
        <v>16</v>
      </c>
      <c r="C707" s="20" t="s">
        <v>1428</v>
      </c>
      <c r="D707" s="20" t="s">
        <v>1429</v>
      </c>
      <c r="E707" s="20"/>
      <c r="F707" s="18" t="s">
        <v>1091</v>
      </c>
      <c r="G707" s="18" t="s">
        <v>19</v>
      </c>
      <c r="H707" s="4" t="str">
        <f t="shared" si="3"/>
        <v>1/SERVING</v>
      </c>
      <c r="I707" s="33">
        <v>1.0</v>
      </c>
      <c r="J707" s="36" t="s">
        <v>1100</v>
      </c>
      <c r="K707" s="16">
        <v>53.09</v>
      </c>
      <c r="L707" s="16">
        <v>185.0</v>
      </c>
    </row>
    <row r="708" ht="15.75" customHeight="1">
      <c r="A708" s="17" t="s">
        <v>16</v>
      </c>
      <c r="C708" s="20" t="s">
        <v>1430</v>
      </c>
      <c r="D708" s="20" t="s">
        <v>1431</v>
      </c>
      <c r="E708" s="20"/>
      <c r="F708" s="18" t="s">
        <v>1091</v>
      </c>
      <c r="G708" s="18" t="s">
        <v>19</v>
      </c>
      <c r="H708" s="4" t="str">
        <f t="shared" si="3"/>
        <v>1/SERVING</v>
      </c>
      <c r="I708" s="33">
        <v>1.0</v>
      </c>
      <c r="J708" s="36" t="s">
        <v>1100</v>
      </c>
      <c r="K708" s="16">
        <v>55.3</v>
      </c>
      <c r="L708" s="16">
        <v>185.0</v>
      </c>
    </row>
    <row r="709" ht="15.75" customHeight="1">
      <c r="A709" s="17" t="s">
        <v>16</v>
      </c>
      <c r="C709" s="20" t="s">
        <v>1432</v>
      </c>
      <c r="D709" s="20" t="s">
        <v>1433</v>
      </c>
      <c r="E709" s="20"/>
      <c r="F709" s="18" t="s">
        <v>1091</v>
      </c>
      <c r="G709" s="18" t="s">
        <v>19</v>
      </c>
      <c r="H709" s="4" t="str">
        <f t="shared" si="3"/>
        <v>1/SERVING</v>
      </c>
      <c r="I709" s="33">
        <v>1.0</v>
      </c>
      <c r="J709" s="36" t="s">
        <v>1100</v>
      </c>
      <c r="K709" s="16">
        <v>45.6</v>
      </c>
      <c r="L709" s="16">
        <v>165.0</v>
      </c>
    </row>
    <row r="710" ht="15.75" customHeight="1">
      <c r="A710" s="17" t="s">
        <v>16</v>
      </c>
      <c r="C710" s="20" t="s">
        <v>1434</v>
      </c>
      <c r="D710" s="20" t="s">
        <v>1435</v>
      </c>
      <c r="E710" s="20"/>
      <c r="F710" s="18" t="s">
        <v>1091</v>
      </c>
      <c r="G710" s="18" t="s">
        <v>19</v>
      </c>
      <c r="H710" s="4" t="str">
        <f t="shared" si="3"/>
        <v>1/SERVING</v>
      </c>
      <c r="I710" s="33">
        <v>1.0</v>
      </c>
      <c r="J710" s="36" t="s">
        <v>1100</v>
      </c>
      <c r="K710" s="16">
        <v>12.85</v>
      </c>
      <c r="L710" s="16">
        <v>115.0</v>
      </c>
    </row>
    <row r="711" ht="15.75" customHeight="1">
      <c r="A711" s="17" t="s">
        <v>16</v>
      </c>
      <c r="C711" s="20" t="s">
        <v>1436</v>
      </c>
      <c r="D711" s="20" t="s">
        <v>1437</v>
      </c>
      <c r="E711" s="20"/>
      <c r="F711" s="18" t="s">
        <v>1091</v>
      </c>
      <c r="G711" s="18" t="s">
        <v>19</v>
      </c>
      <c r="H711" s="4" t="str">
        <f t="shared" si="3"/>
        <v>1/SERVING</v>
      </c>
      <c r="I711" s="33">
        <v>1.0</v>
      </c>
      <c r="J711" s="36" t="s">
        <v>1100</v>
      </c>
      <c r="K711" s="16">
        <v>54.28</v>
      </c>
      <c r="L711" s="16">
        <v>450.0</v>
      </c>
    </row>
    <row r="712" ht="15.75" customHeight="1">
      <c r="A712" s="17" t="s">
        <v>16</v>
      </c>
      <c r="C712" s="20" t="s">
        <v>1438</v>
      </c>
      <c r="D712" s="20" t="s">
        <v>1439</v>
      </c>
      <c r="E712" s="20"/>
      <c r="F712" s="18" t="s">
        <v>1091</v>
      </c>
      <c r="G712" s="18" t="s">
        <v>19</v>
      </c>
      <c r="H712" s="4" t="str">
        <f t="shared" si="3"/>
        <v>1/SERVING</v>
      </c>
      <c r="I712" s="33">
        <v>1.0</v>
      </c>
      <c r="J712" s="36" t="s">
        <v>1100</v>
      </c>
      <c r="K712" s="16">
        <v>128.14</v>
      </c>
      <c r="L712" s="16">
        <v>450.0</v>
      </c>
    </row>
    <row r="713" ht="15.75" customHeight="1">
      <c r="A713" s="17" t="s">
        <v>16</v>
      </c>
      <c r="C713" s="20" t="s">
        <v>1440</v>
      </c>
      <c r="D713" s="20" t="s">
        <v>1441</v>
      </c>
      <c r="E713" s="20"/>
      <c r="F713" s="18" t="s">
        <v>1091</v>
      </c>
      <c r="G713" s="18" t="s">
        <v>19</v>
      </c>
      <c r="H713" s="4" t="str">
        <f t="shared" si="3"/>
        <v>1/SERVING</v>
      </c>
      <c r="I713" s="33">
        <v>1.0</v>
      </c>
      <c r="J713" s="36" t="s">
        <v>1100</v>
      </c>
      <c r="K713" s="16">
        <v>544.77</v>
      </c>
      <c r="L713" s="16">
        <v>1350.0</v>
      </c>
    </row>
    <row r="714" ht="15.75" customHeight="1">
      <c r="A714" s="17" t="s">
        <v>16</v>
      </c>
      <c r="C714" s="20" t="s">
        <v>1442</v>
      </c>
      <c r="D714" s="20" t="s">
        <v>1443</v>
      </c>
      <c r="E714" s="20"/>
      <c r="F714" s="18" t="s">
        <v>1091</v>
      </c>
      <c r="G714" s="18" t="s">
        <v>19</v>
      </c>
      <c r="H714" s="4" t="str">
        <f t="shared" si="3"/>
        <v>1/SERVING</v>
      </c>
      <c r="I714" s="33">
        <v>1.0</v>
      </c>
      <c r="J714" s="36" t="s">
        <v>1100</v>
      </c>
      <c r="K714" s="16">
        <v>107.28</v>
      </c>
      <c r="L714" s="16">
        <v>450.0</v>
      </c>
    </row>
    <row r="715" ht="15.75" customHeight="1">
      <c r="A715" s="17" t="s">
        <v>16</v>
      </c>
      <c r="C715" s="20" t="s">
        <v>1444</v>
      </c>
      <c r="D715" s="20" t="s">
        <v>1445</v>
      </c>
      <c r="E715" s="20"/>
      <c r="F715" s="18" t="s">
        <v>1091</v>
      </c>
      <c r="G715" s="18" t="s">
        <v>19</v>
      </c>
      <c r="H715" s="4" t="str">
        <f t="shared" si="3"/>
        <v>1/SERVING</v>
      </c>
      <c r="I715" s="33">
        <v>1.0</v>
      </c>
      <c r="J715" s="36" t="s">
        <v>1100</v>
      </c>
      <c r="K715" s="16">
        <v>319.21</v>
      </c>
      <c r="L715" s="16">
        <v>1350.0</v>
      </c>
    </row>
    <row r="716" ht="15.75" customHeight="1">
      <c r="A716" s="17" t="s">
        <v>16</v>
      </c>
      <c r="C716" s="20" t="s">
        <v>1446</v>
      </c>
      <c r="D716" s="20" t="s">
        <v>1447</v>
      </c>
      <c r="E716" s="20"/>
      <c r="F716" s="18" t="s">
        <v>1091</v>
      </c>
      <c r="G716" s="18" t="s">
        <v>19</v>
      </c>
      <c r="H716" s="4" t="str">
        <f t="shared" si="3"/>
        <v>1/SERVING</v>
      </c>
      <c r="I716" s="33">
        <v>1.0</v>
      </c>
      <c r="J716" s="36" t="s">
        <v>1100</v>
      </c>
      <c r="K716" s="16">
        <v>129.66</v>
      </c>
      <c r="L716" s="16">
        <v>450.0</v>
      </c>
    </row>
    <row r="717" ht="15.75" customHeight="1">
      <c r="A717" s="17" t="s">
        <v>16</v>
      </c>
      <c r="C717" s="20" t="s">
        <v>1448</v>
      </c>
      <c r="D717" s="20" t="s">
        <v>1449</v>
      </c>
      <c r="E717" s="20"/>
      <c r="F717" s="18" t="s">
        <v>1091</v>
      </c>
      <c r="G717" s="18" t="s">
        <v>19</v>
      </c>
      <c r="H717" s="4" t="str">
        <f t="shared" si="3"/>
        <v>1/SERVING</v>
      </c>
      <c r="I717" s="33">
        <v>1.0</v>
      </c>
      <c r="J717" s="36" t="s">
        <v>1100</v>
      </c>
      <c r="K717" s="16">
        <v>26.14</v>
      </c>
      <c r="L717" s="16">
        <v>135.0</v>
      </c>
    </row>
    <row r="718" ht="15.75" customHeight="1">
      <c r="A718" s="17" t="s">
        <v>16</v>
      </c>
      <c r="C718" s="20" t="s">
        <v>1450</v>
      </c>
      <c r="D718" s="20" t="s">
        <v>1451</v>
      </c>
      <c r="E718" s="20"/>
      <c r="F718" s="18" t="s">
        <v>1091</v>
      </c>
      <c r="G718" s="18" t="s">
        <v>19</v>
      </c>
      <c r="H718" s="4" t="str">
        <f t="shared" si="3"/>
        <v>1/SERVING</v>
      </c>
      <c r="I718" s="33">
        <v>1.0</v>
      </c>
      <c r="J718" s="36" t="s">
        <v>1100</v>
      </c>
      <c r="K718" s="16">
        <v>44.0</v>
      </c>
      <c r="L718" s="16"/>
    </row>
    <row r="719" ht="15.75" customHeight="1">
      <c r="A719" s="17" t="s">
        <v>16</v>
      </c>
      <c r="C719" s="20" t="s">
        <v>1452</v>
      </c>
      <c r="D719" s="20" t="s">
        <v>1453</v>
      </c>
      <c r="E719" s="20"/>
      <c r="F719" s="18" t="s">
        <v>1091</v>
      </c>
      <c r="G719" s="18" t="s">
        <v>19</v>
      </c>
      <c r="H719" s="4" t="str">
        <f t="shared" si="3"/>
        <v>1/SERVING</v>
      </c>
      <c r="I719" s="33">
        <v>1.0</v>
      </c>
      <c r="J719" s="36" t="s">
        <v>1100</v>
      </c>
      <c r="K719" s="16">
        <v>65.6</v>
      </c>
      <c r="L719" s="16"/>
    </row>
    <row r="720" ht="15.75" customHeight="1">
      <c r="A720" s="17" t="s">
        <v>16</v>
      </c>
      <c r="C720" s="20" t="s">
        <v>1454</v>
      </c>
      <c r="D720" s="20" t="s">
        <v>1455</v>
      </c>
      <c r="E720" s="20"/>
      <c r="F720" s="18" t="s">
        <v>1091</v>
      </c>
      <c r="G720" s="18" t="s">
        <v>19</v>
      </c>
      <c r="H720" s="4" t="str">
        <f t="shared" si="3"/>
        <v>1/SERVING</v>
      </c>
      <c r="I720" s="33">
        <v>1.0</v>
      </c>
      <c r="J720" s="36" t="s">
        <v>1100</v>
      </c>
      <c r="K720" s="16">
        <v>196.47</v>
      </c>
      <c r="L720" s="16"/>
    </row>
    <row r="721" ht="15.75" customHeight="1">
      <c r="A721" s="17" t="s">
        <v>16</v>
      </c>
      <c r="C721" s="20" t="s">
        <v>1456</v>
      </c>
      <c r="D721" s="20" t="s">
        <v>1457</v>
      </c>
      <c r="E721" s="20"/>
      <c r="F721" s="18" t="s">
        <v>1091</v>
      </c>
      <c r="G721" s="18" t="s">
        <v>19</v>
      </c>
      <c r="H721" s="4" t="str">
        <f t="shared" si="3"/>
        <v>1/SERVING</v>
      </c>
      <c r="I721" s="33">
        <v>1.0</v>
      </c>
      <c r="J721" s="36" t="s">
        <v>1100</v>
      </c>
      <c r="K721" s="16">
        <v>150.63</v>
      </c>
      <c r="L721" s="16"/>
    </row>
    <row r="722" ht="15.75" customHeight="1">
      <c r="A722" s="17" t="s">
        <v>16</v>
      </c>
      <c r="C722" s="20" t="s">
        <v>1110</v>
      </c>
      <c r="D722" s="20" t="s">
        <v>1458</v>
      </c>
      <c r="E722" s="20"/>
      <c r="F722" s="18" t="s">
        <v>1091</v>
      </c>
      <c r="G722" s="18" t="s">
        <v>19</v>
      </c>
      <c r="H722" s="4" t="str">
        <f t="shared" si="3"/>
        <v>1/SERVING</v>
      </c>
      <c r="I722" s="33">
        <v>1.0</v>
      </c>
      <c r="J722" s="36" t="s">
        <v>1100</v>
      </c>
      <c r="K722" s="16">
        <v>202.42</v>
      </c>
      <c r="L722" s="16"/>
    </row>
    <row r="723" ht="15.75" customHeight="1">
      <c r="A723" s="17" t="s">
        <v>16</v>
      </c>
      <c r="C723" s="20" t="s">
        <v>1302</v>
      </c>
      <c r="D723" s="20" t="s">
        <v>1459</v>
      </c>
      <c r="E723" s="20"/>
      <c r="F723" s="18" t="s">
        <v>1091</v>
      </c>
      <c r="G723" s="18" t="s">
        <v>19</v>
      </c>
      <c r="H723" s="4" t="str">
        <f t="shared" si="3"/>
        <v>1/SERVING</v>
      </c>
      <c r="I723" s="33">
        <v>1.0</v>
      </c>
      <c r="J723" s="36" t="s">
        <v>1100</v>
      </c>
      <c r="K723" s="16">
        <v>171.93</v>
      </c>
      <c r="L723" s="16"/>
    </row>
    <row r="724" ht="15.75" customHeight="1">
      <c r="A724" s="17" t="s">
        <v>16</v>
      </c>
      <c r="C724" s="20" t="s">
        <v>1460</v>
      </c>
      <c r="D724" s="20" t="s">
        <v>1461</v>
      </c>
      <c r="E724" s="20"/>
      <c r="F724" s="18" t="s">
        <v>1091</v>
      </c>
      <c r="G724" s="18" t="s">
        <v>19</v>
      </c>
      <c r="H724" s="4" t="str">
        <f t="shared" si="3"/>
        <v>1/SERVING</v>
      </c>
      <c r="I724" s="33">
        <v>1.0</v>
      </c>
      <c r="J724" s="36" t="s">
        <v>1100</v>
      </c>
      <c r="K724" s="16">
        <v>109.14</v>
      </c>
      <c r="L724" s="16"/>
    </row>
    <row r="725" ht="15.75" customHeight="1">
      <c r="A725" s="17" t="s">
        <v>16</v>
      </c>
      <c r="C725" s="20" t="s">
        <v>1462</v>
      </c>
      <c r="D725" s="20" t="s">
        <v>1463</v>
      </c>
      <c r="E725" s="20"/>
      <c r="F725" s="18" t="s">
        <v>1091</v>
      </c>
      <c r="G725" s="18" t="s">
        <v>19</v>
      </c>
      <c r="H725" s="4" t="str">
        <f t="shared" si="3"/>
        <v>1/SERVING</v>
      </c>
      <c r="I725" s="33">
        <v>1.0</v>
      </c>
      <c r="J725" s="36" t="s">
        <v>1100</v>
      </c>
      <c r="K725" s="16">
        <v>122.6</v>
      </c>
      <c r="L725" s="16"/>
    </row>
    <row r="726" ht="15.75" customHeight="1">
      <c r="A726" s="17" t="s">
        <v>16</v>
      </c>
      <c r="C726" s="20" t="s">
        <v>1464</v>
      </c>
      <c r="D726" s="20" t="s">
        <v>1465</v>
      </c>
      <c r="E726" s="20"/>
      <c r="F726" s="18" t="s">
        <v>1091</v>
      </c>
      <c r="G726" s="18" t="s">
        <v>19</v>
      </c>
      <c r="H726" s="4" t="str">
        <f t="shared" si="3"/>
        <v>1/SERVING</v>
      </c>
      <c r="I726" s="33">
        <v>1.0</v>
      </c>
      <c r="J726" s="36" t="s">
        <v>1100</v>
      </c>
      <c r="K726" s="16">
        <v>120.92</v>
      </c>
      <c r="L726" s="16"/>
    </row>
    <row r="727" ht="15.75" customHeight="1">
      <c r="A727" s="17" t="s">
        <v>16</v>
      </c>
      <c r="C727" s="20" t="s">
        <v>1466</v>
      </c>
      <c r="D727" s="20" t="s">
        <v>1467</v>
      </c>
      <c r="E727" s="20"/>
      <c r="F727" s="18" t="s">
        <v>1091</v>
      </c>
      <c r="G727" s="18" t="s">
        <v>19</v>
      </c>
      <c r="H727" s="4" t="str">
        <f t="shared" si="3"/>
        <v>1/SERVING</v>
      </c>
      <c r="I727" s="33">
        <v>1.0</v>
      </c>
      <c r="J727" s="36" t="s">
        <v>1100</v>
      </c>
      <c r="K727" s="16">
        <v>116.36</v>
      </c>
      <c r="L727" s="16"/>
    </row>
    <row r="728" ht="15.75" customHeight="1">
      <c r="A728" s="17" t="s">
        <v>16</v>
      </c>
      <c r="C728" s="20" t="s">
        <v>1468</v>
      </c>
      <c r="D728" s="20" t="s">
        <v>1469</v>
      </c>
      <c r="E728" s="20"/>
      <c r="F728" s="18" t="s">
        <v>1091</v>
      </c>
      <c r="G728" s="18" t="s">
        <v>19</v>
      </c>
      <c r="H728" s="4" t="str">
        <f t="shared" si="3"/>
        <v>1/SERVING</v>
      </c>
      <c r="I728" s="33">
        <v>1.0</v>
      </c>
      <c r="J728" s="36" t="s">
        <v>1100</v>
      </c>
      <c r="K728" s="16">
        <v>145.26</v>
      </c>
      <c r="L728" s="16"/>
    </row>
    <row r="729" ht="15.75" customHeight="1">
      <c r="A729" s="17" t="s">
        <v>16</v>
      </c>
      <c r="C729" s="20" t="s">
        <v>1470</v>
      </c>
      <c r="D729" s="20" t="s">
        <v>1471</v>
      </c>
      <c r="E729" s="20"/>
      <c r="F729" s="18" t="s">
        <v>1091</v>
      </c>
      <c r="G729" s="18" t="s">
        <v>19</v>
      </c>
      <c r="H729" s="4" t="str">
        <f t="shared" si="3"/>
        <v>1/SERVING</v>
      </c>
      <c r="I729" s="33">
        <v>1.0</v>
      </c>
      <c r="J729" s="36" t="s">
        <v>1100</v>
      </c>
      <c r="K729" s="16">
        <v>120.01</v>
      </c>
      <c r="L729" s="16"/>
    </row>
    <row r="730" ht="15.75" customHeight="1">
      <c r="A730" s="17" t="s">
        <v>16</v>
      </c>
      <c r="C730" s="20" t="s">
        <v>1472</v>
      </c>
      <c r="D730" s="20" t="s">
        <v>1473</v>
      </c>
      <c r="E730" s="20"/>
      <c r="F730" s="18" t="s">
        <v>1091</v>
      </c>
      <c r="G730" s="18" t="s">
        <v>19</v>
      </c>
      <c r="H730" s="4" t="str">
        <f t="shared" si="3"/>
        <v>1/SERVING</v>
      </c>
      <c r="I730" s="33">
        <v>1.0</v>
      </c>
      <c r="J730" s="36" t="s">
        <v>1100</v>
      </c>
      <c r="K730" s="16">
        <v>172.55</v>
      </c>
      <c r="L730" s="16"/>
    </row>
    <row r="731" ht="15.75" customHeight="1">
      <c r="A731" s="17" t="s">
        <v>16</v>
      </c>
      <c r="C731" s="20" t="s">
        <v>1474</v>
      </c>
      <c r="D731" s="20" t="s">
        <v>1475</v>
      </c>
      <c r="E731" s="20"/>
      <c r="F731" s="18" t="s">
        <v>1091</v>
      </c>
      <c r="G731" s="18" t="s">
        <v>19</v>
      </c>
      <c r="H731" s="4" t="str">
        <f t="shared" si="3"/>
        <v>1/SERVING</v>
      </c>
      <c r="I731" s="33">
        <v>1.0</v>
      </c>
      <c r="J731" s="36" t="s">
        <v>1100</v>
      </c>
      <c r="K731" s="16">
        <v>65.0</v>
      </c>
      <c r="L731" s="16"/>
    </row>
    <row r="732" ht="15.75" customHeight="1">
      <c r="A732" s="17" t="s">
        <v>16</v>
      </c>
      <c r="C732" s="20" t="s">
        <v>1476</v>
      </c>
      <c r="D732" s="20" t="s">
        <v>1477</v>
      </c>
      <c r="E732" s="20"/>
      <c r="F732" s="18" t="s">
        <v>1091</v>
      </c>
      <c r="G732" s="18" t="s">
        <v>19</v>
      </c>
      <c r="H732" s="4" t="str">
        <f t="shared" si="3"/>
        <v>1/SERVING</v>
      </c>
      <c r="I732" s="33">
        <v>1.0</v>
      </c>
      <c r="J732" s="36" t="s">
        <v>1100</v>
      </c>
      <c r="K732" s="16">
        <v>83.0</v>
      </c>
      <c r="L732" s="16"/>
    </row>
    <row r="733" ht="15.75" customHeight="1">
      <c r="A733" s="17" t="s">
        <v>16</v>
      </c>
      <c r="C733" s="20" t="s">
        <v>1478</v>
      </c>
      <c r="D733" s="20" t="s">
        <v>1479</v>
      </c>
      <c r="E733" s="20"/>
      <c r="F733" s="18" t="s">
        <v>1091</v>
      </c>
      <c r="G733" s="18" t="s">
        <v>19</v>
      </c>
      <c r="H733" s="4" t="str">
        <f t="shared" si="3"/>
        <v>1/SERVING</v>
      </c>
      <c r="I733" s="33">
        <v>1.0</v>
      </c>
      <c r="J733" s="36" t="s">
        <v>1100</v>
      </c>
      <c r="K733" s="16">
        <v>176.06</v>
      </c>
      <c r="L733" s="16"/>
    </row>
    <row r="734" ht="15.75" customHeight="1">
      <c r="A734" s="17" t="s">
        <v>16</v>
      </c>
      <c r="C734" s="20" t="s">
        <v>1480</v>
      </c>
      <c r="D734" s="20" t="s">
        <v>1481</v>
      </c>
      <c r="E734" s="20"/>
      <c r="F734" s="18" t="s">
        <v>1091</v>
      </c>
      <c r="G734" s="18" t="s">
        <v>19</v>
      </c>
      <c r="H734" s="4" t="str">
        <f t="shared" si="3"/>
        <v>1/SERVING</v>
      </c>
      <c r="I734" s="33">
        <v>1.0</v>
      </c>
      <c r="J734" s="36" t="s">
        <v>1100</v>
      </c>
      <c r="K734" s="16">
        <v>178.52</v>
      </c>
      <c r="L734" s="16"/>
    </row>
    <row r="735" ht="15.75" customHeight="1">
      <c r="A735" s="17" t="s">
        <v>16</v>
      </c>
      <c r="C735" s="20" t="s">
        <v>1482</v>
      </c>
      <c r="D735" s="20" t="s">
        <v>1483</v>
      </c>
      <c r="E735" s="20"/>
      <c r="F735" s="18" t="s">
        <v>1091</v>
      </c>
      <c r="G735" s="18" t="s">
        <v>19</v>
      </c>
      <c r="H735" s="4" t="str">
        <f t="shared" si="3"/>
        <v>1/SERVING</v>
      </c>
      <c r="I735" s="33">
        <v>1.0</v>
      </c>
      <c r="J735" s="36" t="s">
        <v>1100</v>
      </c>
      <c r="K735" s="16">
        <v>122.82</v>
      </c>
      <c r="L735" s="16"/>
    </row>
    <row r="736" ht="15.75" customHeight="1">
      <c r="A736" s="17" t="s">
        <v>16</v>
      </c>
      <c r="C736" s="20" t="s">
        <v>1484</v>
      </c>
      <c r="D736" s="20" t="s">
        <v>1485</v>
      </c>
      <c r="E736" s="20"/>
      <c r="F736" s="18" t="s">
        <v>1091</v>
      </c>
      <c r="G736" s="18" t="s">
        <v>19</v>
      </c>
      <c r="H736" s="4" t="str">
        <f t="shared" si="3"/>
        <v>1/SERVING</v>
      </c>
      <c r="I736" s="33">
        <v>1.0</v>
      </c>
      <c r="J736" s="36" t="s">
        <v>1100</v>
      </c>
      <c r="K736" s="16">
        <v>125.64</v>
      </c>
      <c r="L736" s="16"/>
    </row>
    <row r="737" ht="15.75" customHeight="1">
      <c r="A737" s="17" t="s">
        <v>16</v>
      </c>
      <c r="C737" s="20" t="s">
        <v>1486</v>
      </c>
      <c r="D737" s="20" t="s">
        <v>1487</v>
      </c>
      <c r="E737" s="20"/>
      <c r="F737" s="18" t="s">
        <v>1091</v>
      </c>
      <c r="G737" s="18" t="s">
        <v>19</v>
      </c>
      <c r="H737" s="4" t="str">
        <f t="shared" si="3"/>
        <v>1/SERVING</v>
      </c>
      <c r="I737" s="33">
        <v>1.0</v>
      </c>
      <c r="J737" s="36" t="s">
        <v>1100</v>
      </c>
      <c r="K737" s="16">
        <v>113.42</v>
      </c>
      <c r="L737" s="16"/>
    </row>
    <row r="738" ht="15.75" customHeight="1">
      <c r="A738" s="17" t="s">
        <v>16</v>
      </c>
      <c r="C738" s="20" t="s">
        <v>1179</v>
      </c>
      <c r="D738" s="20" t="s">
        <v>1488</v>
      </c>
      <c r="E738" s="20"/>
      <c r="F738" s="18" t="s">
        <v>1091</v>
      </c>
      <c r="G738" s="18" t="s">
        <v>19</v>
      </c>
      <c r="H738" s="4" t="str">
        <f t="shared" si="3"/>
        <v>1/SERVING</v>
      </c>
      <c r="I738" s="33">
        <v>1.0</v>
      </c>
      <c r="J738" s="36" t="s">
        <v>1100</v>
      </c>
      <c r="K738" s="16">
        <v>124.36</v>
      </c>
      <c r="L738" s="16"/>
    </row>
    <row r="739" ht="15.75" customHeight="1">
      <c r="A739" s="17" t="s">
        <v>16</v>
      </c>
      <c r="C739" s="20" t="s">
        <v>1489</v>
      </c>
      <c r="D739" s="20" t="s">
        <v>1490</v>
      </c>
      <c r="E739" s="20"/>
      <c r="F739" s="18" t="s">
        <v>1091</v>
      </c>
      <c r="G739" s="18" t="s">
        <v>19</v>
      </c>
      <c r="H739" s="4" t="str">
        <f t="shared" si="3"/>
        <v>1/SERVING</v>
      </c>
      <c r="I739" s="33">
        <v>1.0</v>
      </c>
      <c r="J739" s="36" t="s">
        <v>1100</v>
      </c>
      <c r="K739" s="16">
        <v>185.58</v>
      </c>
      <c r="L739" s="16"/>
    </row>
    <row r="740" ht="15.75" customHeight="1">
      <c r="C740" s="20"/>
      <c r="D740" s="4"/>
      <c r="E740" s="4"/>
      <c r="F740" s="18"/>
      <c r="G740" s="18"/>
      <c r="H740" s="4" t="str">
        <f t="shared" si="3"/>
        <v>/</v>
      </c>
      <c r="I740" s="18"/>
      <c r="J740" s="19"/>
      <c r="K740" s="16"/>
      <c r="L740" s="16"/>
    </row>
    <row r="741" ht="15.75" customHeight="1">
      <c r="A741" s="37" t="s">
        <v>1491</v>
      </c>
      <c r="C741" s="20"/>
      <c r="D741" s="4"/>
      <c r="E741" s="4"/>
      <c r="F741" s="18"/>
      <c r="G741" s="18"/>
      <c r="H741" s="4" t="str">
        <f t="shared" si="3"/>
        <v>/</v>
      </c>
      <c r="I741" s="18"/>
      <c r="J741" s="19"/>
      <c r="K741" s="16"/>
      <c r="L741" s="16"/>
    </row>
    <row r="742" ht="15.75" customHeight="1">
      <c r="A742" s="17" t="s">
        <v>16</v>
      </c>
      <c r="C742" s="38" t="s">
        <v>1492</v>
      </c>
      <c r="D742" s="38" t="s">
        <v>1493</v>
      </c>
      <c r="E742" s="38"/>
      <c r="F742" s="18" t="s">
        <v>1091</v>
      </c>
      <c r="G742" s="18" t="s">
        <v>19</v>
      </c>
      <c r="H742" s="4" t="str">
        <f t="shared" si="3"/>
        <v>1/PC</v>
      </c>
      <c r="I742" s="18">
        <v>1.0</v>
      </c>
      <c r="J742" s="38" t="s">
        <v>42</v>
      </c>
      <c r="K742" s="39">
        <v>53.8</v>
      </c>
      <c r="L742" s="16">
        <v>56.7</v>
      </c>
    </row>
    <row r="743" ht="15.75" customHeight="1">
      <c r="A743" s="17" t="s">
        <v>16</v>
      </c>
      <c r="C743" s="38" t="s">
        <v>1494</v>
      </c>
      <c r="D743" s="38" t="s">
        <v>1495</v>
      </c>
      <c r="E743" s="38"/>
      <c r="F743" s="18" t="s">
        <v>1091</v>
      </c>
      <c r="G743" s="18" t="s">
        <v>19</v>
      </c>
      <c r="H743" s="4" t="str">
        <f t="shared" si="3"/>
        <v>1/PC</v>
      </c>
      <c r="I743" s="18">
        <v>1.0</v>
      </c>
      <c r="J743" s="38" t="s">
        <v>42</v>
      </c>
      <c r="K743" s="39">
        <v>46.3</v>
      </c>
      <c r="L743" s="16">
        <v>48.8</v>
      </c>
    </row>
    <row r="744" ht="15.75" customHeight="1">
      <c r="A744" s="17" t="s">
        <v>16</v>
      </c>
      <c r="C744" s="38" t="s">
        <v>189</v>
      </c>
      <c r="D744" s="38" t="s">
        <v>1496</v>
      </c>
      <c r="E744" s="38"/>
      <c r="F744" s="18" t="s">
        <v>1091</v>
      </c>
      <c r="G744" s="18" t="s">
        <v>19</v>
      </c>
      <c r="H744" s="4" t="str">
        <f t="shared" si="3"/>
        <v>1/PC</v>
      </c>
      <c r="I744" s="18">
        <v>1.0</v>
      </c>
      <c r="J744" s="38" t="s">
        <v>42</v>
      </c>
      <c r="K744" s="39">
        <v>33.0</v>
      </c>
      <c r="L744" s="16">
        <v>34.8</v>
      </c>
    </row>
    <row r="745" ht="15.75" customHeight="1">
      <c r="A745" s="17" t="s">
        <v>16</v>
      </c>
      <c r="C745" s="38" t="s">
        <v>1497</v>
      </c>
      <c r="D745" s="38" t="s">
        <v>1498</v>
      </c>
      <c r="E745" s="38"/>
      <c r="F745" s="18" t="s">
        <v>1091</v>
      </c>
      <c r="G745" s="18" t="s">
        <v>19</v>
      </c>
      <c r="H745" s="4" t="str">
        <f t="shared" si="3"/>
        <v>1/PC</v>
      </c>
      <c r="I745" s="18">
        <v>1.0</v>
      </c>
      <c r="J745" s="38" t="s">
        <v>42</v>
      </c>
      <c r="K745" s="39">
        <v>35.0</v>
      </c>
      <c r="L745" s="16">
        <v>36.9</v>
      </c>
    </row>
    <row r="746" ht="15.75" customHeight="1">
      <c r="A746" s="17" t="s">
        <v>16</v>
      </c>
      <c r="C746" s="38" t="s">
        <v>1499</v>
      </c>
      <c r="D746" s="38" t="s">
        <v>1500</v>
      </c>
      <c r="E746" s="38"/>
      <c r="F746" s="18" t="s">
        <v>1091</v>
      </c>
      <c r="G746" s="18" t="s">
        <v>19</v>
      </c>
      <c r="H746" s="4" t="str">
        <f t="shared" si="3"/>
        <v>1/PC</v>
      </c>
      <c r="I746" s="18">
        <v>1.0</v>
      </c>
      <c r="J746" s="38" t="s">
        <v>42</v>
      </c>
      <c r="K746" s="39">
        <v>75.0</v>
      </c>
      <c r="L746" s="16">
        <v>79.0</v>
      </c>
    </row>
    <row r="747" ht="15.75" customHeight="1">
      <c r="A747" s="17" t="s">
        <v>16</v>
      </c>
      <c r="C747" s="38" t="s">
        <v>1501</v>
      </c>
      <c r="D747" s="38" t="s">
        <v>1502</v>
      </c>
      <c r="E747" s="38"/>
      <c r="F747" s="18" t="s">
        <v>1091</v>
      </c>
      <c r="G747" s="18" t="s">
        <v>19</v>
      </c>
      <c r="H747" s="4" t="str">
        <f t="shared" si="3"/>
        <v>1/PC</v>
      </c>
      <c r="I747" s="18">
        <v>1.0</v>
      </c>
      <c r="J747" s="38" t="s">
        <v>42</v>
      </c>
      <c r="K747" s="39">
        <v>30.0</v>
      </c>
      <c r="L747" s="16">
        <v>31.6</v>
      </c>
    </row>
    <row r="748" ht="15.75" customHeight="1">
      <c r="A748" s="17" t="s">
        <v>16</v>
      </c>
      <c r="C748" s="38" t="s">
        <v>1503</v>
      </c>
      <c r="D748" s="38" t="s">
        <v>1504</v>
      </c>
      <c r="E748" s="38"/>
      <c r="F748" s="18" t="s">
        <v>1091</v>
      </c>
      <c r="G748" s="18" t="s">
        <v>19</v>
      </c>
      <c r="H748" s="4" t="str">
        <f t="shared" si="3"/>
        <v>1/PC</v>
      </c>
      <c r="I748" s="18">
        <v>1.0</v>
      </c>
      <c r="J748" s="38" t="s">
        <v>42</v>
      </c>
      <c r="K748" s="39">
        <v>22.0</v>
      </c>
      <c r="L748" s="16">
        <v>23.2</v>
      </c>
    </row>
    <row r="749" ht="15.75" customHeight="1">
      <c r="A749" s="17" t="s">
        <v>16</v>
      </c>
      <c r="C749" s="38" t="s">
        <v>1505</v>
      </c>
      <c r="D749" s="38" t="s">
        <v>1506</v>
      </c>
      <c r="E749" s="38"/>
      <c r="F749" s="18" t="s">
        <v>1091</v>
      </c>
      <c r="G749" s="18" t="s">
        <v>19</v>
      </c>
      <c r="H749" s="4" t="str">
        <f t="shared" si="3"/>
        <v>1/PC</v>
      </c>
      <c r="I749" s="18">
        <v>1.0</v>
      </c>
      <c r="J749" s="38" t="s">
        <v>42</v>
      </c>
      <c r="K749" s="39">
        <v>13.0</v>
      </c>
      <c r="L749" s="16">
        <v>13.7</v>
      </c>
    </row>
    <row r="750" ht="15.75" customHeight="1">
      <c r="A750" s="17" t="s">
        <v>16</v>
      </c>
      <c r="C750" s="38" t="s">
        <v>1507</v>
      </c>
      <c r="D750" s="38" t="s">
        <v>1508</v>
      </c>
      <c r="E750" s="38"/>
      <c r="F750" s="18" t="s">
        <v>1091</v>
      </c>
      <c r="G750" s="18" t="s">
        <v>19</v>
      </c>
      <c r="H750" s="4" t="str">
        <f t="shared" si="3"/>
        <v>1/PC</v>
      </c>
      <c r="I750" s="18">
        <v>1.0</v>
      </c>
      <c r="J750" s="38" t="s">
        <v>42</v>
      </c>
      <c r="K750" s="39">
        <v>41.3</v>
      </c>
      <c r="L750" s="16">
        <v>43.5</v>
      </c>
    </row>
    <row r="751" ht="15.75" customHeight="1">
      <c r="A751" s="17" t="s">
        <v>16</v>
      </c>
      <c r="C751" s="38" t="s">
        <v>1509</v>
      </c>
      <c r="D751" s="38" t="s">
        <v>1510</v>
      </c>
      <c r="E751" s="38"/>
      <c r="F751" s="18" t="s">
        <v>1091</v>
      </c>
      <c r="G751" s="18" t="s">
        <v>19</v>
      </c>
      <c r="H751" s="4" t="str">
        <f t="shared" si="3"/>
        <v>1/PC</v>
      </c>
      <c r="I751" s="18">
        <v>1.0</v>
      </c>
      <c r="J751" s="38" t="s">
        <v>42</v>
      </c>
      <c r="K751" s="39">
        <v>55.0</v>
      </c>
      <c r="L751" s="16">
        <v>57.9</v>
      </c>
    </row>
    <row r="752" ht="15.75" customHeight="1">
      <c r="A752" s="17" t="s">
        <v>16</v>
      </c>
      <c r="C752" s="38" t="s">
        <v>1511</v>
      </c>
      <c r="D752" s="38" t="s">
        <v>1512</v>
      </c>
      <c r="E752" s="38"/>
      <c r="F752" s="18" t="s">
        <v>1091</v>
      </c>
      <c r="G752" s="18" t="s">
        <v>19</v>
      </c>
      <c r="H752" s="4" t="str">
        <f t="shared" si="3"/>
        <v>1/PC</v>
      </c>
      <c r="I752" s="18">
        <v>1.0</v>
      </c>
      <c r="J752" s="38" t="s">
        <v>42</v>
      </c>
      <c r="K752" s="39">
        <v>33.0</v>
      </c>
      <c r="L752" s="16">
        <v>34.8</v>
      </c>
    </row>
    <row r="753" ht="15.75" customHeight="1">
      <c r="A753" s="17" t="s">
        <v>16</v>
      </c>
      <c r="C753" s="38" t="s">
        <v>1513</v>
      </c>
      <c r="D753" s="38" t="s">
        <v>1514</v>
      </c>
      <c r="E753" s="38"/>
      <c r="F753" s="18" t="s">
        <v>1091</v>
      </c>
      <c r="G753" s="18" t="s">
        <v>19</v>
      </c>
      <c r="H753" s="4" t="str">
        <f t="shared" si="3"/>
        <v>1/PC</v>
      </c>
      <c r="I753" s="18">
        <v>1.0</v>
      </c>
      <c r="J753" s="38" t="s">
        <v>42</v>
      </c>
      <c r="K753" s="39">
        <v>46.0</v>
      </c>
      <c r="L753" s="16">
        <v>48.5</v>
      </c>
    </row>
    <row r="754" ht="15.75" customHeight="1">
      <c r="A754" s="17" t="s">
        <v>16</v>
      </c>
      <c r="C754" s="38" t="s">
        <v>1515</v>
      </c>
      <c r="D754" s="38" t="s">
        <v>1516</v>
      </c>
      <c r="E754" s="38"/>
      <c r="F754" s="18" t="s">
        <v>1091</v>
      </c>
      <c r="G754" s="18" t="s">
        <v>19</v>
      </c>
      <c r="H754" s="4" t="str">
        <f t="shared" si="3"/>
        <v>1/PC</v>
      </c>
      <c r="I754" s="18">
        <v>1.0</v>
      </c>
      <c r="J754" s="38" t="s">
        <v>42</v>
      </c>
      <c r="K754" s="39">
        <v>58.0</v>
      </c>
      <c r="L754" s="16">
        <v>61.1</v>
      </c>
    </row>
    <row r="755" ht="15.75" customHeight="1">
      <c r="A755" s="17" t="s">
        <v>16</v>
      </c>
      <c r="C755" s="38" t="s">
        <v>1517</v>
      </c>
      <c r="D755" s="38" t="s">
        <v>1518</v>
      </c>
      <c r="E755" s="38"/>
      <c r="F755" s="18" t="s">
        <v>1091</v>
      </c>
      <c r="G755" s="18" t="s">
        <v>19</v>
      </c>
      <c r="H755" s="4" t="str">
        <f t="shared" si="3"/>
        <v>1/PC</v>
      </c>
      <c r="I755" s="18">
        <v>1.0</v>
      </c>
      <c r="J755" s="38" t="s">
        <v>42</v>
      </c>
      <c r="K755" s="39">
        <v>38.0</v>
      </c>
      <c r="L755" s="16">
        <v>40.0</v>
      </c>
    </row>
    <row r="756" ht="15.75" customHeight="1">
      <c r="A756" s="17" t="s">
        <v>16</v>
      </c>
      <c r="C756" s="38" t="s">
        <v>1519</v>
      </c>
      <c r="D756" s="38" t="s">
        <v>1520</v>
      </c>
      <c r="E756" s="38"/>
      <c r="F756" s="18" t="s">
        <v>1091</v>
      </c>
      <c r="G756" s="18" t="s">
        <v>19</v>
      </c>
      <c r="H756" s="4" t="str">
        <f t="shared" si="3"/>
        <v>1/PC</v>
      </c>
      <c r="I756" s="18">
        <v>1.0</v>
      </c>
      <c r="J756" s="38" t="s">
        <v>42</v>
      </c>
      <c r="K756" s="39">
        <v>50.0</v>
      </c>
      <c r="L756" s="16">
        <v>52.7</v>
      </c>
    </row>
    <row r="757" ht="15.75" customHeight="1">
      <c r="A757" s="17" t="s">
        <v>16</v>
      </c>
      <c r="C757" s="38" t="s">
        <v>564</v>
      </c>
      <c r="D757" s="38" t="s">
        <v>1521</v>
      </c>
      <c r="E757" s="38"/>
      <c r="F757" s="18" t="s">
        <v>1091</v>
      </c>
      <c r="G757" s="18" t="s">
        <v>19</v>
      </c>
      <c r="H757" s="4" t="str">
        <f t="shared" si="3"/>
        <v>1/PC</v>
      </c>
      <c r="I757" s="18">
        <v>1.0</v>
      </c>
      <c r="J757" s="38" t="s">
        <v>42</v>
      </c>
      <c r="K757" s="39">
        <v>57.5</v>
      </c>
      <c r="L757" s="16">
        <v>60.6</v>
      </c>
    </row>
    <row r="758" ht="15.75" customHeight="1">
      <c r="A758" s="17" t="s">
        <v>16</v>
      </c>
      <c r="C758" s="38" t="s">
        <v>1522</v>
      </c>
      <c r="D758" s="38" t="s">
        <v>1523</v>
      </c>
      <c r="E758" s="38"/>
      <c r="F758" s="18" t="s">
        <v>1091</v>
      </c>
      <c r="G758" s="18" t="s">
        <v>19</v>
      </c>
      <c r="H758" s="4" t="str">
        <f t="shared" si="3"/>
        <v>1/PC</v>
      </c>
      <c r="I758" s="18">
        <v>1.0</v>
      </c>
      <c r="J758" s="38" t="s">
        <v>42</v>
      </c>
      <c r="K758" s="39">
        <v>48.0</v>
      </c>
      <c r="L758" s="16">
        <v>50.6</v>
      </c>
    </row>
    <row r="759" ht="15.75" customHeight="1">
      <c r="A759" s="17" t="s">
        <v>16</v>
      </c>
      <c r="C759" s="38" t="s">
        <v>1524</v>
      </c>
      <c r="D759" s="38" t="s">
        <v>1525</v>
      </c>
      <c r="E759" s="38"/>
      <c r="F759" s="18" t="s">
        <v>1091</v>
      </c>
      <c r="G759" s="18" t="s">
        <v>19</v>
      </c>
      <c r="H759" s="4" t="str">
        <f t="shared" si="3"/>
        <v>1/PC</v>
      </c>
      <c r="I759" s="18">
        <v>1.0</v>
      </c>
      <c r="J759" s="38" t="s">
        <v>42</v>
      </c>
      <c r="K759" s="39">
        <v>31.0</v>
      </c>
      <c r="L759" s="16">
        <v>32.7</v>
      </c>
    </row>
    <row r="760" ht="15.75" customHeight="1">
      <c r="A760" s="17" t="s">
        <v>16</v>
      </c>
      <c r="C760" s="38" t="s">
        <v>1526</v>
      </c>
      <c r="D760" s="38" t="s">
        <v>1527</v>
      </c>
      <c r="E760" s="38"/>
      <c r="F760" s="18" t="s">
        <v>1091</v>
      </c>
      <c r="G760" s="18" t="s">
        <v>19</v>
      </c>
      <c r="H760" s="4" t="str">
        <f t="shared" si="3"/>
        <v>1/PC</v>
      </c>
      <c r="I760" s="18">
        <v>1.0</v>
      </c>
      <c r="J760" s="38" t="s">
        <v>42</v>
      </c>
      <c r="K760" s="39">
        <v>52.0</v>
      </c>
      <c r="L760" s="16">
        <v>54.8</v>
      </c>
    </row>
    <row r="761" ht="15.75" customHeight="1">
      <c r="A761" s="17" t="s">
        <v>16</v>
      </c>
      <c r="C761" s="38" t="s">
        <v>700</v>
      </c>
      <c r="D761" s="38" t="s">
        <v>1528</v>
      </c>
      <c r="E761" s="38"/>
      <c r="F761" s="18" t="s">
        <v>1091</v>
      </c>
      <c r="G761" s="18" t="s">
        <v>19</v>
      </c>
      <c r="H761" s="4" t="str">
        <f t="shared" si="3"/>
        <v>1/PC</v>
      </c>
      <c r="I761" s="18">
        <v>1.0</v>
      </c>
      <c r="J761" s="38" t="s">
        <v>42</v>
      </c>
      <c r="K761" s="39">
        <v>46.3</v>
      </c>
      <c r="L761" s="16">
        <v>48.8</v>
      </c>
    </row>
    <row r="762" ht="15.75" customHeight="1">
      <c r="A762" s="17" t="s">
        <v>16</v>
      </c>
      <c r="C762" s="38" t="s">
        <v>702</v>
      </c>
      <c r="D762" s="38" t="s">
        <v>1529</v>
      </c>
      <c r="E762" s="38"/>
      <c r="F762" s="18" t="s">
        <v>1091</v>
      </c>
      <c r="G762" s="18" t="s">
        <v>19</v>
      </c>
      <c r="H762" s="4" t="str">
        <f t="shared" si="3"/>
        <v>1/PC</v>
      </c>
      <c r="I762" s="18">
        <v>1.0</v>
      </c>
      <c r="J762" s="38" t="s">
        <v>42</v>
      </c>
      <c r="K762" s="39">
        <v>41.0</v>
      </c>
      <c r="L762" s="16">
        <v>43.2</v>
      </c>
    </row>
    <row r="763" ht="15.75" customHeight="1">
      <c r="A763" s="17" t="s">
        <v>16</v>
      </c>
      <c r="C763" s="38" t="s">
        <v>1530</v>
      </c>
      <c r="D763" s="38" t="s">
        <v>1531</v>
      </c>
      <c r="E763" s="38"/>
      <c r="F763" s="18" t="s">
        <v>1091</v>
      </c>
      <c r="G763" s="18" t="s">
        <v>19</v>
      </c>
      <c r="H763" s="4" t="str">
        <f t="shared" si="3"/>
        <v>1/PC</v>
      </c>
      <c r="I763" s="18">
        <v>1.0</v>
      </c>
      <c r="J763" s="38" t="s">
        <v>42</v>
      </c>
      <c r="K763" s="39">
        <v>61.3</v>
      </c>
      <c r="L763" s="16">
        <v>64.6</v>
      </c>
    </row>
    <row r="764" ht="15.75" customHeight="1">
      <c r="A764" s="17" t="s">
        <v>16</v>
      </c>
      <c r="C764" s="38" t="s">
        <v>763</v>
      </c>
      <c r="D764" s="38" t="s">
        <v>1532</v>
      </c>
      <c r="E764" s="38"/>
      <c r="F764" s="18" t="s">
        <v>1091</v>
      </c>
      <c r="G764" s="18" t="s">
        <v>19</v>
      </c>
      <c r="H764" s="4" t="str">
        <f t="shared" si="3"/>
        <v>1/PC</v>
      </c>
      <c r="I764" s="18">
        <v>1.0</v>
      </c>
      <c r="J764" s="38" t="s">
        <v>42</v>
      </c>
      <c r="K764" s="39">
        <v>65.0</v>
      </c>
      <c r="L764" s="16">
        <v>68.5</v>
      </c>
    </row>
    <row r="765" ht="15.75" customHeight="1">
      <c r="A765" s="17" t="s">
        <v>16</v>
      </c>
      <c r="C765" s="38" t="s">
        <v>1533</v>
      </c>
      <c r="D765" s="38" t="s">
        <v>1534</v>
      </c>
      <c r="E765" s="38"/>
      <c r="F765" s="18" t="s">
        <v>1091</v>
      </c>
      <c r="G765" s="18" t="s">
        <v>19</v>
      </c>
      <c r="H765" s="4" t="str">
        <f t="shared" si="3"/>
        <v>1/PC</v>
      </c>
      <c r="I765" s="18">
        <v>1.0</v>
      </c>
      <c r="J765" s="38" t="s">
        <v>42</v>
      </c>
      <c r="K765" s="39">
        <v>47.0</v>
      </c>
      <c r="L765" s="16">
        <v>49.5</v>
      </c>
    </row>
    <row r="766" ht="15.75" customHeight="1">
      <c r="A766" s="17" t="s">
        <v>16</v>
      </c>
      <c r="C766" s="38" t="s">
        <v>1535</v>
      </c>
      <c r="D766" s="38" t="s">
        <v>1536</v>
      </c>
      <c r="E766" s="38"/>
      <c r="F766" s="18" t="s">
        <v>1091</v>
      </c>
      <c r="G766" s="18" t="s">
        <v>19</v>
      </c>
      <c r="H766" s="4" t="str">
        <f t="shared" si="3"/>
        <v>1/PC</v>
      </c>
      <c r="I766" s="18">
        <v>1.0</v>
      </c>
      <c r="J766" s="38" t="s">
        <v>42</v>
      </c>
      <c r="K766" s="39">
        <v>30.0</v>
      </c>
      <c r="L766" s="16">
        <v>31.6</v>
      </c>
    </row>
    <row r="767" ht="15.75" customHeight="1">
      <c r="A767" s="17" t="s">
        <v>16</v>
      </c>
      <c r="C767" s="38" t="s">
        <v>1537</v>
      </c>
      <c r="D767" s="38" t="s">
        <v>1538</v>
      </c>
      <c r="E767" s="38"/>
      <c r="F767" s="18" t="s">
        <v>1091</v>
      </c>
      <c r="G767" s="18" t="s">
        <v>19</v>
      </c>
      <c r="H767" s="4" t="str">
        <f t="shared" si="3"/>
        <v>1/PC</v>
      </c>
      <c r="I767" s="18">
        <v>1.0</v>
      </c>
      <c r="J767" s="38" t="s">
        <v>42</v>
      </c>
      <c r="K767" s="39">
        <v>29.0</v>
      </c>
      <c r="L767" s="16">
        <v>30.6</v>
      </c>
    </row>
    <row r="768" ht="15.75" customHeight="1">
      <c r="A768" s="17" t="s">
        <v>16</v>
      </c>
      <c r="C768" s="38" t="s">
        <v>1539</v>
      </c>
      <c r="D768" s="38" t="s">
        <v>1540</v>
      </c>
      <c r="E768" s="38"/>
      <c r="F768" s="18" t="s">
        <v>1091</v>
      </c>
      <c r="G768" s="18" t="s">
        <v>19</v>
      </c>
      <c r="H768" s="4" t="str">
        <f t="shared" si="3"/>
        <v>1/PC</v>
      </c>
      <c r="I768" s="18">
        <v>1.0</v>
      </c>
      <c r="J768" s="38" t="s">
        <v>42</v>
      </c>
      <c r="K768" s="39">
        <v>14.0</v>
      </c>
      <c r="L768" s="16">
        <v>14.8</v>
      </c>
    </row>
    <row r="769" ht="15.75" customHeight="1">
      <c r="A769" s="17" t="s">
        <v>16</v>
      </c>
      <c r="C769" s="38" t="s">
        <v>1541</v>
      </c>
      <c r="D769" s="38" t="s">
        <v>1542</v>
      </c>
      <c r="E769" s="38"/>
      <c r="F769" s="18" t="s">
        <v>1091</v>
      </c>
      <c r="G769" s="18" t="s">
        <v>19</v>
      </c>
      <c r="H769" s="4" t="str">
        <f t="shared" si="3"/>
        <v>1/PC</v>
      </c>
      <c r="I769" s="18">
        <v>1.0</v>
      </c>
      <c r="J769" s="38" t="s">
        <v>42</v>
      </c>
      <c r="K769" s="39">
        <v>23.0</v>
      </c>
      <c r="L769" s="16">
        <v>24.3</v>
      </c>
    </row>
    <row r="770" ht="15.75" customHeight="1">
      <c r="A770" s="17" t="s">
        <v>16</v>
      </c>
      <c r="C770" s="38" t="s">
        <v>1543</v>
      </c>
      <c r="D770" s="38" t="s">
        <v>1544</v>
      </c>
      <c r="E770" s="38"/>
      <c r="F770" s="18" t="s">
        <v>1091</v>
      </c>
      <c r="G770" s="18" t="s">
        <v>19</v>
      </c>
      <c r="H770" s="4" t="str">
        <f t="shared" si="3"/>
        <v>1/PC</v>
      </c>
      <c r="I770" s="18">
        <v>1.0</v>
      </c>
      <c r="J770" s="38" t="s">
        <v>42</v>
      </c>
      <c r="K770" s="39">
        <v>17.0</v>
      </c>
      <c r="L770" s="16">
        <v>17.9</v>
      </c>
    </row>
    <row r="771" ht="15.75" customHeight="1">
      <c r="A771" s="17" t="s">
        <v>16</v>
      </c>
      <c r="C771" s="38" t="s">
        <v>1545</v>
      </c>
      <c r="D771" s="38" t="s">
        <v>1546</v>
      </c>
      <c r="E771" s="38"/>
      <c r="F771" s="18" t="s">
        <v>1091</v>
      </c>
      <c r="G771" s="18" t="s">
        <v>19</v>
      </c>
      <c r="H771" s="4" t="str">
        <f t="shared" si="3"/>
        <v>1/PC</v>
      </c>
      <c r="I771" s="18">
        <v>1.0</v>
      </c>
      <c r="J771" s="38" t="s">
        <v>42</v>
      </c>
      <c r="K771" s="39">
        <v>35.0</v>
      </c>
      <c r="L771" s="16">
        <v>36.9</v>
      </c>
    </row>
    <row r="772" ht="15.75" customHeight="1">
      <c r="A772" s="17" t="s">
        <v>16</v>
      </c>
      <c r="C772" s="38" t="s">
        <v>1547</v>
      </c>
      <c r="D772" s="38" t="s">
        <v>1548</v>
      </c>
      <c r="E772" s="38"/>
      <c r="F772" s="18" t="s">
        <v>1091</v>
      </c>
      <c r="G772" s="18" t="s">
        <v>19</v>
      </c>
      <c r="H772" s="4" t="str">
        <f t="shared" si="3"/>
        <v>1/PC</v>
      </c>
      <c r="I772" s="18">
        <v>1.0</v>
      </c>
      <c r="J772" s="38" t="s">
        <v>42</v>
      </c>
      <c r="K772" s="39">
        <v>83.8</v>
      </c>
      <c r="L772" s="16">
        <v>88.3</v>
      </c>
    </row>
    <row r="773" ht="15.75" customHeight="1">
      <c r="A773" s="17" t="s">
        <v>16</v>
      </c>
      <c r="C773" s="38" t="s">
        <v>1549</v>
      </c>
      <c r="D773" s="38" t="s">
        <v>1550</v>
      </c>
      <c r="E773" s="38"/>
      <c r="F773" s="18" t="s">
        <v>1091</v>
      </c>
      <c r="G773" s="18" t="s">
        <v>19</v>
      </c>
      <c r="H773" s="4" t="str">
        <f t="shared" si="3"/>
        <v>1/PC</v>
      </c>
      <c r="I773" s="18">
        <v>1.0</v>
      </c>
      <c r="J773" s="38" t="s">
        <v>42</v>
      </c>
      <c r="K773" s="39">
        <v>63.8</v>
      </c>
      <c r="L773" s="16">
        <v>67.2</v>
      </c>
    </row>
    <row r="774" ht="15.75" customHeight="1">
      <c r="A774" s="17" t="s">
        <v>16</v>
      </c>
      <c r="C774" s="38" t="s">
        <v>1551</v>
      </c>
      <c r="D774" s="38" t="s">
        <v>1552</v>
      </c>
      <c r="E774" s="38"/>
      <c r="F774" s="18" t="s">
        <v>1091</v>
      </c>
      <c r="G774" s="18" t="s">
        <v>19</v>
      </c>
      <c r="H774" s="4" t="str">
        <f t="shared" si="3"/>
        <v>1/PC</v>
      </c>
      <c r="I774" s="18">
        <v>1.0</v>
      </c>
      <c r="J774" s="38" t="s">
        <v>42</v>
      </c>
      <c r="K774" s="39">
        <v>70.0</v>
      </c>
      <c r="L774" s="16">
        <v>73.7</v>
      </c>
    </row>
    <row r="775" ht="15.75" customHeight="1">
      <c r="A775" s="17" t="s">
        <v>16</v>
      </c>
      <c r="C775" s="38" t="s">
        <v>904</v>
      </c>
      <c r="D775" s="38" t="s">
        <v>1553</v>
      </c>
      <c r="E775" s="38"/>
      <c r="F775" s="18" t="s">
        <v>1091</v>
      </c>
      <c r="G775" s="18" t="s">
        <v>19</v>
      </c>
      <c r="H775" s="4" t="str">
        <f t="shared" si="3"/>
        <v>1/PC</v>
      </c>
      <c r="I775" s="18">
        <v>1.0</v>
      </c>
      <c r="J775" s="38" t="s">
        <v>42</v>
      </c>
      <c r="K775" s="39">
        <v>4.0</v>
      </c>
      <c r="L775" s="16">
        <v>4.3</v>
      </c>
    </row>
    <row r="776" ht="15.75" customHeight="1">
      <c r="A776" s="17" t="s">
        <v>16</v>
      </c>
      <c r="C776" s="38" t="s">
        <v>169</v>
      </c>
      <c r="D776" s="38" t="s">
        <v>1554</v>
      </c>
      <c r="E776" s="38"/>
      <c r="F776" s="18" t="s">
        <v>1091</v>
      </c>
      <c r="G776" s="18" t="s">
        <v>19</v>
      </c>
      <c r="H776" s="4" t="str">
        <f t="shared" si="3"/>
        <v>1/LOAF</v>
      </c>
      <c r="I776" s="18">
        <v>1.0</v>
      </c>
      <c r="J776" s="38" t="s">
        <v>171</v>
      </c>
      <c r="K776" s="39">
        <v>80.0</v>
      </c>
      <c r="L776" s="16">
        <v>84.3</v>
      </c>
    </row>
    <row r="777" ht="15.75" customHeight="1">
      <c r="A777" s="17" t="s">
        <v>16</v>
      </c>
      <c r="C777" s="38" t="s">
        <v>174</v>
      </c>
      <c r="D777" s="38" t="s">
        <v>1555</v>
      </c>
      <c r="E777" s="38"/>
      <c r="F777" s="18" t="s">
        <v>1091</v>
      </c>
      <c r="G777" s="18" t="s">
        <v>19</v>
      </c>
      <c r="H777" s="4" t="str">
        <f t="shared" si="3"/>
        <v>1/PC</v>
      </c>
      <c r="I777" s="18">
        <v>1.0</v>
      </c>
      <c r="J777" s="38" t="s">
        <v>42</v>
      </c>
      <c r="K777" s="39">
        <v>36.0</v>
      </c>
      <c r="L777" s="16">
        <v>37.9</v>
      </c>
    </row>
    <row r="778" ht="15.75" customHeight="1">
      <c r="A778" s="17" t="s">
        <v>16</v>
      </c>
      <c r="C778" s="38" t="s">
        <v>1556</v>
      </c>
      <c r="D778" s="38" t="s">
        <v>1557</v>
      </c>
      <c r="E778" s="38"/>
      <c r="F778" s="18" t="s">
        <v>1091</v>
      </c>
      <c r="G778" s="18" t="s">
        <v>19</v>
      </c>
      <c r="H778" s="4" t="str">
        <f t="shared" si="3"/>
        <v>1/PC</v>
      </c>
      <c r="I778" s="18">
        <v>1.0</v>
      </c>
      <c r="J778" s="38" t="s">
        <v>42</v>
      </c>
      <c r="K778" s="39">
        <v>53.0</v>
      </c>
      <c r="L778" s="16">
        <v>55.8</v>
      </c>
    </row>
    <row r="779" ht="15.75" customHeight="1">
      <c r="A779" s="17" t="s">
        <v>16</v>
      </c>
      <c r="C779" s="38" t="s">
        <v>1558</v>
      </c>
      <c r="D779" s="38" t="s">
        <v>1559</v>
      </c>
      <c r="E779" s="38"/>
      <c r="F779" s="18" t="s">
        <v>1091</v>
      </c>
      <c r="G779" s="18" t="s">
        <v>19</v>
      </c>
      <c r="H779" s="4" t="str">
        <f t="shared" si="3"/>
        <v>6/PACK</v>
      </c>
      <c r="I779" s="18">
        <v>6.0</v>
      </c>
      <c r="J779" s="38" t="s">
        <v>23</v>
      </c>
      <c r="K779" s="39">
        <v>45.0</v>
      </c>
      <c r="L779" s="16">
        <v>47.4</v>
      </c>
    </row>
    <row r="780" ht="15.75" customHeight="1">
      <c r="C780" s="20"/>
      <c r="D780" s="4"/>
      <c r="E780" s="4"/>
      <c r="F780" s="18"/>
      <c r="G780" s="18"/>
      <c r="H780" s="4" t="str">
        <f t="shared" si="3"/>
        <v>/</v>
      </c>
      <c r="I780" s="18"/>
      <c r="J780" s="19"/>
      <c r="K780" s="16"/>
      <c r="L780" s="16"/>
    </row>
    <row r="781" ht="15.75" customHeight="1">
      <c r="A781" s="2" t="s">
        <v>1560</v>
      </c>
      <c r="C781" s="3"/>
      <c r="F781" s="18"/>
      <c r="G781" s="18"/>
      <c r="H781" s="4" t="str">
        <f t="shared" si="3"/>
        <v>/</v>
      </c>
      <c r="I781" s="4"/>
      <c r="J781" s="3"/>
      <c r="K781" s="16"/>
      <c r="L781" s="16"/>
    </row>
    <row r="782" ht="15.75" customHeight="1">
      <c r="A782" s="17" t="s">
        <v>16</v>
      </c>
      <c r="C782" s="21" t="s">
        <v>1561</v>
      </c>
      <c r="D782" s="40" t="s">
        <v>1562</v>
      </c>
      <c r="E782" s="21"/>
      <c r="F782" s="18" t="s">
        <v>1563</v>
      </c>
      <c r="G782" s="18" t="s">
        <v>19</v>
      </c>
      <c r="H782" s="4" t="str">
        <f t="shared" si="3"/>
        <v>100/SERVING</v>
      </c>
      <c r="I782" s="41">
        <v>100.0</v>
      </c>
      <c r="J782" s="21" t="s">
        <v>1100</v>
      </c>
      <c r="K782" s="16">
        <v>2.803971</v>
      </c>
      <c r="L782" s="16"/>
    </row>
    <row r="783" ht="15.75" customHeight="1">
      <c r="A783" s="17" t="s">
        <v>16</v>
      </c>
      <c r="C783" s="21" t="s">
        <v>1564</v>
      </c>
      <c r="D783" s="40" t="s">
        <v>1565</v>
      </c>
      <c r="E783" s="21"/>
      <c r="F783" s="18" t="s">
        <v>1563</v>
      </c>
      <c r="G783" s="18" t="s">
        <v>19</v>
      </c>
      <c r="H783" s="4" t="str">
        <f t="shared" si="3"/>
        <v>9/SERVING</v>
      </c>
      <c r="I783" s="41">
        <v>9.0</v>
      </c>
      <c r="J783" s="21" t="s">
        <v>1100</v>
      </c>
      <c r="K783" s="16">
        <v>6.300000000000001</v>
      </c>
      <c r="L783" s="16"/>
    </row>
    <row r="784" ht="15.75" customHeight="1">
      <c r="A784" s="17" t="s">
        <v>16</v>
      </c>
      <c r="C784" s="21" t="s">
        <v>1566</v>
      </c>
      <c r="D784" s="40" t="s">
        <v>1567</v>
      </c>
      <c r="E784" s="21"/>
      <c r="F784" s="18" t="s">
        <v>1563</v>
      </c>
      <c r="G784" s="18" t="s">
        <v>19</v>
      </c>
      <c r="H784" s="4" t="str">
        <f t="shared" si="3"/>
        <v>9/SERVING</v>
      </c>
      <c r="I784" s="41">
        <v>9.0</v>
      </c>
      <c r="J784" s="21" t="s">
        <v>1100</v>
      </c>
      <c r="K784" s="16">
        <v>9.236666666666666</v>
      </c>
      <c r="L784" s="16"/>
    </row>
    <row r="785" ht="15.75" customHeight="1">
      <c r="A785" s="17" t="s">
        <v>16</v>
      </c>
      <c r="C785" s="21" t="s">
        <v>1568</v>
      </c>
      <c r="D785" s="40" t="s">
        <v>1569</v>
      </c>
      <c r="E785" s="21"/>
      <c r="F785" s="18" t="s">
        <v>1563</v>
      </c>
      <c r="G785" s="18" t="s">
        <v>19</v>
      </c>
      <c r="H785" s="4" t="str">
        <f t="shared" si="3"/>
        <v>1/SERVING</v>
      </c>
      <c r="I785" s="41">
        <v>1.0</v>
      </c>
      <c r="J785" s="21" t="s">
        <v>1100</v>
      </c>
      <c r="K785" s="16">
        <v>10.741984768207645</v>
      </c>
      <c r="L785" s="16"/>
    </row>
    <row r="786" ht="15.75" customHeight="1">
      <c r="A786" s="17" t="s">
        <v>16</v>
      </c>
      <c r="C786" s="21" t="s">
        <v>1570</v>
      </c>
      <c r="D786" s="40" t="s">
        <v>1571</v>
      </c>
      <c r="E786" s="21"/>
      <c r="F786" s="18" t="s">
        <v>1563</v>
      </c>
      <c r="G786" s="18" t="s">
        <v>19</v>
      </c>
      <c r="H786" s="4" t="str">
        <f t="shared" si="3"/>
        <v>1/SERVING</v>
      </c>
      <c r="I786" s="41">
        <v>1.0</v>
      </c>
      <c r="J786" s="21" t="s">
        <v>1100</v>
      </c>
      <c r="K786" s="16">
        <v>16.603837142857145</v>
      </c>
      <c r="L786" s="16"/>
    </row>
    <row r="787" ht="15.75" customHeight="1">
      <c r="A787" s="17" t="s">
        <v>16</v>
      </c>
      <c r="C787" s="21" t="s">
        <v>1572</v>
      </c>
      <c r="D787" s="40" t="s">
        <v>1573</v>
      </c>
      <c r="E787" s="21"/>
      <c r="F787" s="18" t="s">
        <v>1563</v>
      </c>
      <c r="G787" s="18" t="s">
        <v>19</v>
      </c>
      <c r="H787" s="4" t="str">
        <f t="shared" si="3"/>
        <v>1/SERVING</v>
      </c>
      <c r="I787" s="41">
        <v>1.0</v>
      </c>
      <c r="J787" s="21" t="s">
        <v>1100</v>
      </c>
      <c r="K787" s="16">
        <v>20.50675</v>
      </c>
      <c r="L787" s="16"/>
    </row>
    <row r="788" ht="15.75" customHeight="1">
      <c r="A788" s="17" t="s">
        <v>16</v>
      </c>
      <c r="C788" s="21" t="s">
        <v>1574</v>
      </c>
      <c r="D788" s="40" t="s">
        <v>1575</v>
      </c>
      <c r="E788" s="21"/>
      <c r="F788" s="18" t="s">
        <v>1563</v>
      </c>
      <c r="G788" s="18" t="s">
        <v>19</v>
      </c>
      <c r="H788" s="4" t="str">
        <f t="shared" si="3"/>
        <v>30/SERVING</v>
      </c>
      <c r="I788" s="41">
        <v>30.0</v>
      </c>
      <c r="J788" s="21" t="s">
        <v>1100</v>
      </c>
      <c r="K788" s="16">
        <v>12.653258083333332</v>
      </c>
      <c r="L788" s="16"/>
    </row>
    <row r="789" ht="15.75" customHeight="1">
      <c r="A789" s="17" t="s">
        <v>16</v>
      </c>
      <c r="C789" s="21" t="s">
        <v>1576</v>
      </c>
      <c r="D789" s="40" t="s">
        <v>1577</v>
      </c>
      <c r="E789" s="21"/>
      <c r="F789" s="18" t="s">
        <v>1563</v>
      </c>
      <c r="G789" s="18" t="s">
        <v>19</v>
      </c>
      <c r="H789" s="4" t="str">
        <f t="shared" si="3"/>
        <v>10/SERVING</v>
      </c>
      <c r="I789" s="41">
        <v>10.0</v>
      </c>
      <c r="J789" s="21" t="s">
        <v>1100</v>
      </c>
      <c r="K789" s="16">
        <v>37.959774249999995</v>
      </c>
      <c r="L789" s="16"/>
    </row>
    <row r="790" ht="15.75" customHeight="1">
      <c r="A790" s="17" t="s">
        <v>16</v>
      </c>
      <c r="C790" s="21" t="s">
        <v>1578</v>
      </c>
      <c r="D790" s="40" t="s">
        <v>1579</v>
      </c>
      <c r="E790" s="21"/>
      <c r="F790" s="18" t="s">
        <v>1563</v>
      </c>
      <c r="G790" s="18" t="s">
        <v>19</v>
      </c>
      <c r="H790" s="4" t="str">
        <f t="shared" si="3"/>
        <v>60/SERVING</v>
      </c>
      <c r="I790" s="41">
        <v>60.0</v>
      </c>
      <c r="J790" s="21" t="s">
        <v>1100</v>
      </c>
      <c r="K790" s="16">
        <v>6.326629041666666</v>
      </c>
      <c r="L790" s="16"/>
    </row>
    <row r="791" ht="15.75" customHeight="1">
      <c r="A791" s="17" t="s">
        <v>16</v>
      </c>
      <c r="C791" s="21" t="s">
        <v>1580</v>
      </c>
      <c r="D791" s="40" t="s">
        <v>1581</v>
      </c>
      <c r="E791" s="21"/>
      <c r="F791" s="18" t="s">
        <v>1563</v>
      </c>
      <c r="G791" s="18" t="s">
        <v>19</v>
      </c>
      <c r="H791" s="4" t="str">
        <f t="shared" si="3"/>
        <v>20/SERVING</v>
      </c>
      <c r="I791" s="41">
        <v>20.0</v>
      </c>
      <c r="J791" s="21" t="s">
        <v>1100</v>
      </c>
      <c r="K791" s="16">
        <v>18.979887124999998</v>
      </c>
      <c r="L791" s="16"/>
    </row>
    <row r="792" ht="15.75" customHeight="1">
      <c r="A792" s="17" t="s">
        <v>16</v>
      </c>
      <c r="C792" s="21" t="s">
        <v>1582</v>
      </c>
      <c r="D792" s="40" t="s">
        <v>1583</v>
      </c>
      <c r="E792" s="21"/>
      <c r="F792" s="18" t="s">
        <v>1563</v>
      </c>
      <c r="G792" s="18" t="s">
        <v>19</v>
      </c>
      <c r="H792" s="4" t="str">
        <f t="shared" si="3"/>
        <v>10/SERVING</v>
      </c>
      <c r="I792" s="41">
        <v>10.0</v>
      </c>
      <c r="J792" s="21" t="s">
        <v>1100</v>
      </c>
      <c r="K792" s="16">
        <v>37.959774249999995</v>
      </c>
      <c r="L792" s="16"/>
    </row>
    <row r="793" ht="15.75" customHeight="1">
      <c r="A793" s="17" t="s">
        <v>16</v>
      </c>
      <c r="C793" s="21" t="s">
        <v>1584</v>
      </c>
      <c r="D793" s="40" t="s">
        <v>1585</v>
      </c>
      <c r="E793" s="21"/>
      <c r="F793" s="18" t="s">
        <v>1563</v>
      </c>
      <c r="G793" s="18" t="s">
        <v>19</v>
      </c>
      <c r="H793" s="4" t="str">
        <f t="shared" si="3"/>
        <v>180/SERVING</v>
      </c>
      <c r="I793" s="41">
        <v>180.0</v>
      </c>
      <c r="J793" s="21" t="s">
        <v>1100</v>
      </c>
      <c r="K793" s="16">
        <v>2.108876347222222</v>
      </c>
      <c r="L793" s="16"/>
    </row>
    <row r="794" ht="15.75" customHeight="1">
      <c r="A794" s="17" t="s">
        <v>16</v>
      </c>
      <c r="C794" s="21" t="s">
        <v>1586</v>
      </c>
      <c r="D794" s="40" t="s">
        <v>1587</v>
      </c>
      <c r="E794" s="21"/>
      <c r="F794" s="18" t="s">
        <v>1563</v>
      </c>
      <c r="G794" s="18" t="s">
        <v>19</v>
      </c>
      <c r="H794" s="4" t="str">
        <f t="shared" si="3"/>
        <v>17.2/SERVING</v>
      </c>
      <c r="I794" s="41">
        <v>17.2</v>
      </c>
      <c r="J794" s="21" t="s">
        <v>1100</v>
      </c>
      <c r="K794" s="16">
        <v>23.215125000000004</v>
      </c>
      <c r="L794" s="16"/>
    </row>
    <row r="795" ht="15.75" customHeight="1">
      <c r="A795" s="17" t="s">
        <v>16</v>
      </c>
      <c r="C795" s="21" t="s">
        <v>1588</v>
      </c>
      <c r="D795" s="40" t="s">
        <v>1589</v>
      </c>
      <c r="E795" s="21"/>
      <c r="F795" s="18" t="s">
        <v>1563</v>
      </c>
      <c r="G795" s="18" t="s">
        <v>19</v>
      </c>
      <c r="H795" s="4" t="str">
        <f t="shared" si="3"/>
        <v>100/SERVING</v>
      </c>
      <c r="I795" s="41">
        <v>100.0</v>
      </c>
      <c r="J795" s="21" t="s">
        <v>1100</v>
      </c>
      <c r="K795" s="16">
        <v>2.803971</v>
      </c>
      <c r="L795" s="16"/>
    </row>
    <row r="796" ht="15.75" customHeight="1">
      <c r="A796" s="17" t="s">
        <v>16</v>
      </c>
      <c r="C796" s="21" t="s">
        <v>1590</v>
      </c>
      <c r="D796" s="40" t="s">
        <v>1591</v>
      </c>
      <c r="E796" s="21"/>
      <c r="F796" s="18" t="s">
        <v>1563</v>
      </c>
      <c r="G796" s="18" t="s">
        <v>19</v>
      </c>
      <c r="H796" s="4" t="str">
        <f t="shared" si="3"/>
        <v>200/SERVING</v>
      </c>
      <c r="I796" s="41">
        <v>200.0</v>
      </c>
      <c r="J796" s="21" t="s">
        <v>1100</v>
      </c>
      <c r="K796" s="16">
        <v>1.4019855</v>
      </c>
      <c r="L796" s="16"/>
    </row>
    <row r="797" ht="15.75" customHeight="1">
      <c r="A797" s="17" t="s">
        <v>16</v>
      </c>
      <c r="C797" s="21" t="s">
        <v>1592</v>
      </c>
      <c r="D797" s="40" t="s">
        <v>1593</v>
      </c>
      <c r="E797" s="21"/>
      <c r="F797" s="18" t="s">
        <v>1563</v>
      </c>
      <c r="G797" s="18" t="s">
        <v>19</v>
      </c>
      <c r="H797" s="4" t="str">
        <f t="shared" si="3"/>
        <v>5/SERVING</v>
      </c>
      <c r="I797" s="41">
        <v>5.0</v>
      </c>
      <c r="J797" s="21" t="s">
        <v>1100</v>
      </c>
      <c r="K797" s="16">
        <v>47.666875499999996</v>
      </c>
      <c r="L797" s="16"/>
    </row>
    <row r="798" ht="15.75" customHeight="1">
      <c r="A798" s="17" t="s">
        <v>16</v>
      </c>
      <c r="C798" s="21" t="s">
        <v>1594</v>
      </c>
      <c r="D798" s="40" t="s">
        <v>1595</v>
      </c>
      <c r="E798" s="21"/>
      <c r="F798" s="18" t="s">
        <v>1563</v>
      </c>
      <c r="G798" s="18" t="s">
        <v>19</v>
      </c>
      <c r="H798" s="4" t="str">
        <f t="shared" si="3"/>
        <v>10/SERVING</v>
      </c>
      <c r="I798" s="41">
        <v>10.0</v>
      </c>
      <c r="J798" s="21" t="s">
        <v>1100</v>
      </c>
      <c r="K798" s="16">
        <v>23.833437749999998</v>
      </c>
      <c r="L798" s="16"/>
    </row>
    <row r="799" ht="15.75" customHeight="1">
      <c r="A799" s="17" t="s">
        <v>16</v>
      </c>
      <c r="C799" s="21" t="s">
        <v>1596</v>
      </c>
      <c r="D799" s="40" t="s">
        <v>1597</v>
      </c>
      <c r="E799" s="21"/>
      <c r="F799" s="18" t="s">
        <v>1563</v>
      </c>
      <c r="G799" s="18" t="s">
        <v>19</v>
      </c>
      <c r="H799" s="4" t="str">
        <f t="shared" si="3"/>
        <v>10/SERVING</v>
      </c>
      <c r="I799" s="41">
        <v>10.0</v>
      </c>
      <c r="J799" s="21" t="s">
        <v>1100</v>
      </c>
      <c r="K799" s="16">
        <v>17.288742000000003</v>
      </c>
      <c r="L799" s="16"/>
    </row>
    <row r="800" ht="15.75" customHeight="1">
      <c r="A800" s="17" t="s">
        <v>16</v>
      </c>
      <c r="C800" s="21" t="s">
        <v>1598</v>
      </c>
      <c r="D800" s="40" t="s">
        <v>1599</v>
      </c>
      <c r="E800" s="21"/>
      <c r="F800" s="18" t="s">
        <v>1563</v>
      </c>
      <c r="G800" s="18" t="s">
        <v>19</v>
      </c>
      <c r="H800" s="4" t="str">
        <f t="shared" si="3"/>
        <v>3.33/SERVING</v>
      </c>
      <c r="I800" s="41">
        <v>3.33</v>
      </c>
      <c r="J800" s="21" t="s">
        <v>1100</v>
      </c>
      <c r="K800" s="16">
        <v>51.91814414414415</v>
      </c>
      <c r="L800" s="16"/>
    </row>
    <row r="801" ht="15.75" customHeight="1">
      <c r="A801" s="17" t="s">
        <v>16</v>
      </c>
      <c r="C801" s="21" t="s">
        <v>1600</v>
      </c>
      <c r="D801" s="40" t="s">
        <v>1601</v>
      </c>
      <c r="E801" s="21"/>
      <c r="F801" s="18" t="s">
        <v>1563</v>
      </c>
      <c r="G801" s="18" t="s">
        <v>19</v>
      </c>
      <c r="H801" s="4" t="str">
        <f t="shared" si="3"/>
        <v>60/SERVING</v>
      </c>
      <c r="I801" s="41">
        <v>60.0</v>
      </c>
      <c r="J801" s="21" t="s">
        <v>1100</v>
      </c>
      <c r="K801" s="16">
        <v>2.881457</v>
      </c>
      <c r="L801" s="16"/>
    </row>
    <row r="802" ht="15.75" customHeight="1">
      <c r="A802" s="17" t="s">
        <v>16</v>
      </c>
      <c r="C802" s="21" t="s">
        <v>1602</v>
      </c>
      <c r="D802" s="40" t="s">
        <v>1603</v>
      </c>
      <c r="E802" s="21"/>
      <c r="F802" s="18" t="s">
        <v>1563</v>
      </c>
      <c r="G802" s="18" t="s">
        <v>19</v>
      </c>
      <c r="H802" s="4" t="str">
        <f t="shared" si="3"/>
        <v>9.37/SERVING</v>
      </c>
      <c r="I802" s="41">
        <v>9.37</v>
      </c>
      <c r="J802" s="21" t="s">
        <v>1100</v>
      </c>
      <c r="K802" s="16">
        <v>7.802547491995732</v>
      </c>
      <c r="L802" s="16"/>
    </row>
    <row r="803" ht="15.75" customHeight="1">
      <c r="A803" s="17" t="s">
        <v>16</v>
      </c>
      <c r="C803" s="21" t="s">
        <v>1604</v>
      </c>
      <c r="D803" s="40" t="s">
        <v>1605</v>
      </c>
      <c r="E803" s="21"/>
      <c r="F803" s="18" t="s">
        <v>1563</v>
      </c>
      <c r="G803" s="18" t="s">
        <v>19</v>
      </c>
      <c r="H803" s="4" t="str">
        <f t="shared" si="3"/>
        <v>1/SERVING</v>
      </c>
      <c r="I803" s="41">
        <v>1.0</v>
      </c>
      <c r="J803" s="21" t="s">
        <v>1100</v>
      </c>
      <c r="K803" s="16">
        <v>5.82842</v>
      </c>
      <c r="L803" s="16"/>
    </row>
    <row r="804" ht="15.75" customHeight="1">
      <c r="A804" s="17" t="s">
        <v>16</v>
      </c>
      <c r="C804" s="21" t="s">
        <v>1606</v>
      </c>
      <c r="D804" s="40" t="s">
        <v>1607</v>
      </c>
      <c r="E804" s="21"/>
      <c r="F804" s="18" t="s">
        <v>1563</v>
      </c>
      <c r="G804" s="18" t="s">
        <v>19</v>
      </c>
      <c r="H804" s="4" t="str">
        <f t="shared" si="3"/>
        <v>5/SERVING</v>
      </c>
      <c r="I804" s="41">
        <v>5.0</v>
      </c>
      <c r="J804" s="21" t="s">
        <v>1100</v>
      </c>
      <c r="K804" s="16">
        <v>2.2964759999999997</v>
      </c>
      <c r="L804" s="16"/>
    </row>
    <row r="805" ht="15.75" customHeight="1">
      <c r="A805" s="17" t="s">
        <v>16</v>
      </c>
      <c r="C805" s="21" t="s">
        <v>1608</v>
      </c>
      <c r="D805" s="40" t="s">
        <v>1609</v>
      </c>
      <c r="E805" s="21"/>
      <c r="F805" s="18" t="s">
        <v>1563</v>
      </c>
      <c r="G805" s="18" t="s">
        <v>19</v>
      </c>
      <c r="H805" s="4" t="str">
        <f t="shared" si="3"/>
        <v>2/SERVING</v>
      </c>
      <c r="I805" s="41">
        <v>2.0</v>
      </c>
      <c r="J805" s="21" t="s">
        <v>1100</v>
      </c>
      <c r="K805" s="16">
        <v>5.74119</v>
      </c>
      <c r="L805" s="16"/>
    </row>
    <row r="806" ht="15.75" customHeight="1">
      <c r="A806" s="17" t="s">
        <v>16</v>
      </c>
      <c r="C806" s="21" t="s">
        <v>1610</v>
      </c>
      <c r="D806" s="40" t="s">
        <v>1611</v>
      </c>
      <c r="E806" s="21"/>
      <c r="F806" s="18" t="s">
        <v>1563</v>
      </c>
      <c r="G806" s="18" t="s">
        <v>19</v>
      </c>
      <c r="H806" s="4" t="str">
        <f t="shared" si="3"/>
        <v>1.66/SERVING</v>
      </c>
      <c r="I806" s="41">
        <v>1.66</v>
      </c>
      <c r="J806" s="21" t="s">
        <v>1100</v>
      </c>
      <c r="K806" s="16">
        <v>6.917096385542169</v>
      </c>
      <c r="L806" s="16"/>
    </row>
    <row r="807" ht="15.75" customHeight="1">
      <c r="A807" s="17" t="s">
        <v>16</v>
      </c>
      <c r="C807" s="21" t="s">
        <v>1612</v>
      </c>
      <c r="D807" s="40" t="s">
        <v>1613</v>
      </c>
      <c r="E807" s="21"/>
      <c r="F807" s="18" t="s">
        <v>1563</v>
      </c>
      <c r="G807" s="18" t="s">
        <v>19</v>
      </c>
      <c r="H807" s="4" t="str">
        <f t="shared" si="3"/>
        <v>15/SERVING</v>
      </c>
      <c r="I807" s="41">
        <v>15.0</v>
      </c>
      <c r="J807" s="21" t="s">
        <v>1100</v>
      </c>
      <c r="K807" s="16">
        <v>8.610284703891201</v>
      </c>
      <c r="L807" s="16"/>
    </row>
    <row r="808" ht="15.75" customHeight="1">
      <c r="A808" s="17" t="s">
        <v>16</v>
      </c>
      <c r="C808" s="21" t="s">
        <v>1614</v>
      </c>
      <c r="D808" s="40" t="s">
        <v>1615</v>
      </c>
      <c r="E808" s="21"/>
      <c r="F808" s="18" t="s">
        <v>1563</v>
      </c>
      <c r="G808" s="18" t="s">
        <v>19</v>
      </c>
      <c r="H808" s="4" t="str">
        <f t="shared" si="3"/>
        <v>15.5/SERVING</v>
      </c>
      <c r="I808" s="41">
        <v>15.5</v>
      </c>
      <c r="J808" s="21" t="s">
        <v>1100</v>
      </c>
      <c r="K808" s="16">
        <v>15.49014</v>
      </c>
      <c r="L808" s="16"/>
    </row>
    <row r="809" ht="15.75" customHeight="1">
      <c r="A809" s="17" t="s">
        <v>16</v>
      </c>
      <c r="C809" s="21" t="s">
        <v>1616</v>
      </c>
      <c r="D809" s="40" t="s">
        <v>1617</v>
      </c>
      <c r="E809" s="21"/>
      <c r="F809" s="18" t="s">
        <v>1563</v>
      </c>
      <c r="G809" s="18" t="s">
        <v>19</v>
      </c>
      <c r="H809" s="4" t="str">
        <f t="shared" si="3"/>
        <v>7.7/SERVING</v>
      </c>
      <c r="I809" s="41">
        <v>7.7</v>
      </c>
      <c r="J809" s="21" t="s">
        <v>1100</v>
      </c>
      <c r="K809" s="16">
        <v>31.181450649350648</v>
      </c>
      <c r="L809" s="16"/>
    </row>
    <row r="810" ht="15.75" customHeight="1">
      <c r="A810" s="17" t="s">
        <v>16</v>
      </c>
      <c r="C810" s="21" t="s">
        <v>1618</v>
      </c>
      <c r="D810" s="40" t="s">
        <v>1619</v>
      </c>
      <c r="E810" s="21"/>
      <c r="F810" s="18" t="s">
        <v>1563</v>
      </c>
      <c r="G810" s="18" t="s">
        <v>19</v>
      </c>
      <c r="H810" s="4" t="str">
        <f t="shared" si="3"/>
        <v>2.92/SERVING</v>
      </c>
      <c r="I810" s="41">
        <v>2.92</v>
      </c>
      <c r="J810" s="21" t="s">
        <v>1100</v>
      </c>
      <c r="K810" s="16">
        <v>82.22505821917808</v>
      </c>
      <c r="L810" s="16"/>
    </row>
    <row r="811" ht="15.75" customHeight="1">
      <c r="A811" s="17" t="s">
        <v>16</v>
      </c>
      <c r="C811" s="21" t="s">
        <v>1620</v>
      </c>
      <c r="D811" s="40" t="s">
        <v>1621</v>
      </c>
      <c r="E811" s="21"/>
      <c r="F811" s="18" t="s">
        <v>1563</v>
      </c>
      <c r="G811" s="18" t="s">
        <v>19</v>
      </c>
      <c r="H811" s="4" t="str">
        <f t="shared" si="3"/>
        <v>160/SERVING</v>
      </c>
      <c r="I811" s="41">
        <v>160.0</v>
      </c>
      <c r="J811" s="21" t="s">
        <v>1100</v>
      </c>
      <c r="K811" s="16">
        <v>1.0292249999999998</v>
      </c>
      <c r="L811" s="16"/>
    </row>
    <row r="812" ht="15.75" customHeight="1">
      <c r="A812" s="17" t="s">
        <v>16</v>
      </c>
      <c r="C812" s="21" t="s">
        <v>1622</v>
      </c>
      <c r="D812" s="40" t="s">
        <v>1623</v>
      </c>
      <c r="E812" s="21"/>
      <c r="F812" s="18" t="s">
        <v>1563</v>
      </c>
      <c r="G812" s="18" t="s">
        <v>19</v>
      </c>
      <c r="H812" s="4" t="str">
        <f t="shared" si="3"/>
        <v>80/SERVING</v>
      </c>
      <c r="I812" s="41">
        <v>80.0</v>
      </c>
      <c r="J812" s="21" t="s">
        <v>1100</v>
      </c>
      <c r="K812" s="16">
        <v>2.0584499999999997</v>
      </c>
      <c r="L812" s="16"/>
    </row>
    <row r="813" ht="15.75" customHeight="1">
      <c r="A813" s="17" t="s">
        <v>16</v>
      </c>
      <c r="C813" s="21" t="s">
        <v>1624</v>
      </c>
      <c r="D813" s="40" t="s">
        <v>1625</v>
      </c>
      <c r="E813" s="21"/>
      <c r="F813" s="18" t="s">
        <v>1563</v>
      </c>
      <c r="G813" s="18" t="s">
        <v>19</v>
      </c>
      <c r="H813" s="4" t="str">
        <f t="shared" si="3"/>
        <v>40/SERVING</v>
      </c>
      <c r="I813" s="41">
        <v>40.0</v>
      </c>
      <c r="J813" s="21" t="s">
        <v>1100</v>
      </c>
      <c r="K813" s="16">
        <v>4.116899999999999</v>
      </c>
      <c r="L813" s="16"/>
    </row>
    <row r="814" ht="15.75" customHeight="1">
      <c r="A814" s="17" t="s">
        <v>16</v>
      </c>
      <c r="C814" s="21" t="s">
        <v>1626</v>
      </c>
      <c r="D814" s="40" t="s">
        <v>1627</v>
      </c>
      <c r="E814" s="21"/>
      <c r="F814" s="18" t="s">
        <v>1563</v>
      </c>
      <c r="G814" s="18" t="s">
        <v>19</v>
      </c>
      <c r="H814" s="4" t="str">
        <f t="shared" si="3"/>
        <v>11.43/SERVING</v>
      </c>
      <c r="I814" s="41">
        <v>11.43</v>
      </c>
      <c r="J814" s="21" t="s">
        <v>1100</v>
      </c>
      <c r="K814" s="16">
        <v>14.40734908136483</v>
      </c>
      <c r="L814" s="16"/>
    </row>
    <row r="815" ht="15.75" customHeight="1">
      <c r="A815" s="17" t="s">
        <v>16</v>
      </c>
      <c r="C815" s="21" t="s">
        <v>1628</v>
      </c>
      <c r="D815" s="40" t="s">
        <v>1629</v>
      </c>
      <c r="E815" s="21"/>
      <c r="F815" s="18" t="s">
        <v>1563</v>
      </c>
      <c r="G815" s="18" t="s">
        <v>19</v>
      </c>
      <c r="H815" s="4" t="str">
        <f t="shared" si="3"/>
        <v>55/SERVING</v>
      </c>
      <c r="I815" s="41">
        <v>55.0</v>
      </c>
      <c r="J815" s="21" t="s">
        <v>1100</v>
      </c>
      <c r="K815" s="16">
        <v>8.411727272727273</v>
      </c>
      <c r="L815" s="16"/>
    </row>
    <row r="816" ht="15.75" customHeight="1">
      <c r="A816" s="17" t="s">
        <v>16</v>
      </c>
      <c r="C816" s="21" t="s">
        <v>1630</v>
      </c>
      <c r="D816" s="40" t="s">
        <v>1631</v>
      </c>
      <c r="E816" s="21"/>
      <c r="F816" s="18" t="s">
        <v>1563</v>
      </c>
      <c r="G816" s="18" t="s">
        <v>19</v>
      </c>
      <c r="H816" s="4" t="str">
        <f t="shared" si="3"/>
        <v>27.5/SERVING</v>
      </c>
      <c r="I816" s="41">
        <v>27.5</v>
      </c>
      <c r="J816" s="21" t="s">
        <v>1100</v>
      </c>
      <c r="K816" s="16">
        <v>16.823454545454545</v>
      </c>
      <c r="L816" s="16"/>
    </row>
    <row r="817" ht="15.75" customHeight="1">
      <c r="A817" s="17" t="s">
        <v>16</v>
      </c>
      <c r="C817" s="21" t="s">
        <v>1632</v>
      </c>
      <c r="D817" s="40" t="s">
        <v>1633</v>
      </c>
      <c r="E817" s="21"/>
      <c r="F817" s="18" t="s">
        <v>1563</v>
      </c>
      <c r="G817" s="18" t="s">
        <v>19</v>
      </c>
      <c r="H817" s="4" t="str">
        <f t="shared" si="3"/>
        <v>9/SERVING</v>
      </c>
      <c r="I817" s="41">
        <v>9.0</v>
      </c>
      <c r="J817" s="21" t="s">
        <v>1100</v>
      </c>
      <c r="K817" s="16">
        <v>1.0004366666666666</v>
      </c>
      <c r="L817" s="16"/>
    </row>
    <row r="818" ht="15.75" customHeight="1">
      <c r="A818" s="17" t="s">
        <v>16</v>
      </c>
      <c r="C818" s="21" t="s">
        <v>1634</v>
      </c>
      <c r="D818" s="40" t="s">
        <v>1635</v>
      </c>
      <c r="E818" s="21"/>
      <c r="F818" s="18" t="s">
        <v>1563</v>
      </c>
      <c r="G818" s="18" t="s">
        <v>19</v>
      </c>
      <c r="H818" s="4" t="str">
        <f t="shared" si="3"/>
        <v>1/SERVING</v>
      </c>
      <c r="I818" s="41">
        <v>1.0</v>
      </c>
      <c r="J818" s="21" t="s">
        <v>1100</v>
      </c>
      <c r="K818" s="16">
        <v>14.389999999999999</v>
      </c>
      <c r="L818" s="16"/>
    </row>
    <row r="819" ht="15.75" customHeight="1">
      <c r="A819" s="17" t="s">
        <v>16</v>
      </c>
      <c r="C819" s="21" t="s">
        <v>1636</v>
      </c>
      <c r="D819" s="40" t="s">
        <v>1637</v>
      </c>
      <c r="E819" s="21"/>
      <c r="F819" s="18" t="s">
        <v>1563</v>
      </c>
      <c r="G819" s="18" t="s">
        <v>19</v>
      </c>
      <c r="H819" s="4" t="str">
        <f t="shared" si="3"/>
        <v>36/SERVING</v>
      </c>
      <c r="I819" s="41">
        <v>36.0</v>
      </c>
      <c r="J819" s="21" t="s">
        <v>1100</v>
      </c>
      <c r="K819" s="16">
        <v>4.285185555555555</v>
      </c>
      <c r="L819" s="16"/>
    </row>
    <row r="820" ht="15.75" customHeight="1">
      <c r="A820" s="17" t="s">
        <v>16</v>
      </c>
      <c r="C820" s="21" t="s">
        <v>1638</v>
      </c>
      <c r="D820" s="40" t="s">
        <v>1639</v>
      </c>
      <c r="E820" s="21"/>
      <c r="F820" s="18" t="s">
        <v>1563</v>
      </c>
      <c r="G820" s="18" t="s">
        <v>19</v>
      </c>
      <c r="H820" s="4" t="str">
        <f t="shared" si="3"/>
        <v>25/SERVING</v>
      </c>
      <c r="I820" s="41">
        <v>25.0</v>
      </c>
      <c r="J820" s="21" t="s">
        <v>1100</v>
      </c>
      <c r="K820" s="16">
        <v>8.067942874074076</v>
      </c>
      <c r="L820" s="16"/>
    </row>
    <row r="821" ht="15.75" customHeight="1">
      <c r="A821" s="17" t="s">
        <v>16</v>
      </c>
      <c r="C821" s="21" t="s">
        <v>1640</v>
      </c>
      <c r="D821" s="40" t="s">
        <v>1641</v>
      </c>
      <c r="E821" s="21"/>
      <c r="F821" s="18" t="s">
        <v>1563</v>
      </c>
      <c r="G821" s="18" t="s">
        <v>19</v>
      </c>
      <c r="H821" s="4" t="str">
        <f t="shared" si="3"/>
        <v>1/SERVING</v>
      </c>
      <c r="I821" s="41">
        <v>1.0</v>
      </c>
      <c r="J821" s="21" t="s">
        <v>1100</v>
      </c>
      <c r="K821" s="16">
        <v>66.35874</v>
      </c>
      <c r="L821" s="16"/>
    </row>
    <row r="822" ht="15.75" customHeight="1">
      <c r="A822" s="17" t="s">
        <v>16</v>
      </c>
      <c r="C822" s="21" t="s">
        <v>1642</v>
      </c>
      <c r="D822" s="40" t="s">
        <v>1643</v>
      </c>
      <c r="E822" s="21"/>
      <c r="F822" s="18" t="s">
        <v>1563</v>
      </c>
      <c r="G822" s="18" t="s">
        <v>19</v>
      </c>
      <c r="H822" s="4" t="str">
        <f t="shared" si="3"/>
        <v>30/SERVING</v>
      </c>
      <c r="I822" s="41">
        <v>30.0</v>
      </c>
      <c r="J822" s="21" t="s">
        <v>1100</v>
      </c>
      <c r="K822" s="16">
        <v>4.5115583333333324</v>
      </c>
      <c r="L822" s="16"/>
    </row>
    <row r="823" ht="15.75" customHeight="1">
      <c r="A823" s="17" t="s">
        <v>16</v>
      </c>
      <c r="C823" s="21" t="s">
        <v>1644</v>
      </c>
      <c r="D823" s="40" t="s">
        <v>1645</v>
      </c>
      <c r="E823" s="21"/>
      <c r="F823" s="18" t="s">
        <v>1563</v>
      </c>
      <c r="G823" s="18" t="s">
        <v>19</v>
      </c>
      <c r="H823" s="4" t="str">
        <f t="shared" si="3"/>
        <v>12/SERVING</v>
      </c>
      <c r="I823" s="41">
        <v>12.0</v>
      </c>
      <c r="J823" s="21" t="s">
        <v>1100</v>
      </c>
      <c r="K823" s="16">
        <v>12.855556666666665</v>
      </c>
      <c r="L823" s="16"/>
    </row>
    <row r="824" ht="15.75" customHeight="1">
      <c r="A824" s="17" t="s">
        <v>16</v>
      </c>
      <c r="C824" s="21" t="s">
        <v>1646</v>
      </c>
      <c r="D824" s="40" t="s">
        <v>1647</v>
      </c>
      <c r="E824" s="21"/>
      <c r="F824" s="18" t="s">
        <v>1563</v>
      </c>
      <c r="G824" s="18" t="s">
        <v>19</v>
      </c>
      <c r="H824" s="4" t="str">
        <f t="shared" si="3"/>
        <v>15/SERVING</v>
      </c>
      <c r="I824" s="41">
        <v>15.0</v>
      </c>
      <c r="J824" s="21" t="s">
        <v>1100</v>
      </c>
      <c r="K824" s="16">
        <v>10.284445333333332</v>
      </c>
      <c r="L824" s="16"/>
    </row>
    <row r="825" ht="15.75" customHeight="1">
      <c r="A825" s="17" t="s">
        <v>16</v>
      </c>
      <c r="C825" s="21" t="s">
        <v>1648</v>
      </c>
      <c r="D825" s="40" t="s">
        <v>1649</v>
      </c>
      <c r="E825" s="21"/>
      <c r="F825" s="18" t="s">
        <v>1563</v>
      </c>
      <c r="G825" s="18" t="s">
        <v>19</v>
      </c>
      <c r="H825" s="4" t="str">
        <f t="shared" si="3"/>
        <v>72/SERVING</v>
      </c>
      <c r="I825" s="41">
        <v>72.0</v>
      </c>
      <c r="J825" s="21" t="s">
        <v>1100</v>
      </c>
      <c r="K825" s="16">
        <v>2.1425927777777773</v>
      </c>
      <c r="L825" s="16"/>
    </row>
    <row r="826" ht="15.75" customHeight="1">
      <c r="A826" s="17" t="s">
        <v>16</v>
      </c>
      <c r="C826" s="21" t="s">
        <v>1650</v>
      </c>
      <c r="D826" s="40" t="s">
        <v>1651</v>
      </c>
      <c r="E826" s="21"/>
      <c r="F826" s="18" t="s">
        <v>1563</v>
      </c>
      <c r="G826" s="18" t="s">
        <v>19</v>
      </c>
      <c r="H826" s="4" t="str">
        <f t="shared" si="3"/>
        <v>45/SERVING</v>
      </c>
      <c r="I826" s="41">
        <v>45.0</v>
      </c>
      <c r="J826" s="21" t="s">
        <v>1100</v>
      </c>
      <c r="K826" s="16">
        <v>3.428148444444444</v>
      </c>
      <c r="L826" s="16"/>
    </row>
    <row r="827" ht="15.75" customHeight="1">
      <c r="A827" s="17" t="s">
        <v>16</v>
      </c>
      <c r="C827" s="21" t="s">
        <v>1652</v>
      </c>
      <c r="D827" s="40" t="s">
        <v>1653</v>
      </c>
      <c r="E827" s="21"/>
      <c r="F827" s="18" t="s">
        <v>1563</v>
      </c>
      <c r="G827" s="18" t="s">
        <v>19</v>
      </c>
      <c r="H827" s="4" t="str">
        <f t="shared" si="3"/>
        <v>36/SERVING</v>
      </c>
      <c r="I827" s="41">
        <v>36.0</v>
      </c>
      <c r="J827" s="21" t="s">
        <v>1100</v>
      </c>
      <c r="K827" s="16">
        <v>4.285185555555555</v>
      </c>
      <c r="L827" s="16"/>
    </row>
    <row r="828" ht="15.75" customHeight="1">
      <c r="A828" s="17" t="s">
        <v>16</v>
      </c>
      <c r="C828" s="21" t="s">
        <v>1654</v>
      </c>
      <c r="D828" s="40" t="s">
        <v>1655</v>
      </c>
      <c r="E828" s="21"/>
      <c r="F828" s="18" t="s">
        <v>1563</v>
      </c>
      <c r="G828" s="18" t="s">
        <v>19</v>
      </c>
      <c r="H828" s="4" t="str">
        <f t="shared" si="3"/>
        <v>4/SERVING</v>
      </c>
      <c r="I828" s="41">
        <v>4.0</v>
      </c>
      <c r="J828" s="21" t="s">
        <v>1100</v>
      </c>
      <c r="K828" s="16">
        <v>35.9849275</v>
      </c>
      <c r="L828" s="16"/>
    </row>
    <row r="829" ht="15.75" customHeight="1">
      <c r="A829" s="17" t="s">
        <v>16</v>
      </c>
      <c r="C829" s="21" t="s">
        <v>1656</v>
      </c>
      <c r="D829" s="40" t="s">
        <v>1657</v>
      </c>
      <c r="E829" s="21"/>
      <c r="F829" s="18" t="s">
        <v>1563</v>
      </c>
      <c r="G829" s="18" t="s">
        <v>19</v>
      </c>
      <c r="H829" s="4" t="str">
        <f t="shared" si="3"/>
        <v>5/SERVING</v>
      </c>
      <c r="I829" s="41">
        <v>5.0</v>
      </c>
      <c r="J829" s="21" t="s">
        <v>1100</v>
      </c>
      <c r="K829" s="16">
        <v>24.3924</v>
      </c>
      <c r="L829" s="16"/>
    </row>
    <row r="830" ht="15.75" customHeight="1">
      <c r="A830" s="17" t="s">
        <v>16</v>
      </c>
      <c r="C830" s="21" t="s">
        <v>1658</v>
      </c>
      <c r="D830" s="40" t="s">
        <v>1659</v>
      </c>
      <c r="E830" s="21"/>
      <c r="F830" s="18" t="s">
        <v>1563</v>
      </c>
      <c r="G830" s="18" t="s">
        <v>19</v>
      </c>
      <c r="H830" s="4" t="str">
        <f t="shared" si="3"/>
        <v>10/SERVING</v>
      </c>
      <c r="I830" s="41">
        <v>10.0</v>
      </c>
      <c r="J830" s="21" t="s">
        <v>1100</v>
      </c>
      <c r="K830" s="16">
        <v>12.1962</v>
      </c>
      <c r="L830" s="16"/>
    </row>
    <row r="831" ht="15.75" customHeight="1">
      <c r="A831" s="17" t="s">
        <v>16</v>
      </c>
      <c r="C831" s="21" t="s">
        <v>1660</v>
      </c>
      <c r="D831" s="40" t="s">
        <v>1661</v>
      </c>
      <c r="E831" s="21"/>
      <c r="F831" s="18" t="s">
        <v>1563</v>
      </c>
      <c r="G831" s="18" t="s">
        <v>19</v>
      </c>
      <c r="H831" s="4" t="str">
        <f t="shared" si="3"/>
        <v>6/SERVING</v>
      </c>
      <c r="I831" s="41">
        <v>6.0</v>
      </c>
      <c r="J831" s="21" t="s">
        <v>1100</v>
      </c>
      <c r="K831" s="16">
        <v>2.6336774999999997</v>
      </c>
      <c r="L831" s="16"/>
    </row>
    <row r="832" ht="15.75" customHeight="1">
      <c r="A832" s="17" t="s">
        <v>16</v>
      </c>
      <c r="C832" s="21" t="s">
        <v>1662</v>
      </c>
      <c r="D832" s="40" t="s">
        <v>1663</v>
      </c>
      <c r="E832" s="21"/>
      <c r="F832" s="18" t="s">
        <v>1563</v>
      </c>
      <c r="G832" s="18" t="s">
        <v>19</v>
      </c>
      <c r="H832" s="4" t="str">
        <f t="shared" si="3"/>
        <v>21/SERVING</v>
      </c>
      <c r="I832" s="41">
        <v>21.0</v>
      </c>
      <c r="J832" s="21" t="s">
        <v>1100</v>
      </c>
      <c r="K832" s="16">
        <v>0.5757857142857142</v>
      </c>
      <c r="L832" s="16"/>
    </row>
    <row r="833" ht="15.75" customHeight="1">
      <c r="A833" s="17" t="s">
        <v>16</v>
      </c>
      <c r="C833" s="21" t="s">
        <v>1664</v>
      </c>
      <c r="D833" s="40" t="s">
        <v>1665</v>
      </c>
      <c r="E833" s="21"/>
      <c r="F833" s="18" t="s">
        <v>1563</v>
      </c>
      <c r="G833" s="18" t="s">
        <v>19</v>
      </c>
      <c r="H833" s="4" t="str">
        <f t="shared" si="3"/>
        <v>50/grams</v>
      </c>
      <c r="I833" s="41">
        <v>50.0</v>
      </c>
      <c r="J833" s="21" t="s">
        <v>1666</v>
      </c>
      <c r="K833" s="16">
        <v>0.46177</v>
      </c>
      <c r="L833" s="16"/>
    </row>
    <row r="834" ht="15.75" customHeight="1">
      <c r="A834" s="17" t="s">
        <v>16</v>
      </c>
      <c r="C834" s="21" t="s">
        <v>1667</v>
      </c>
      <c r="D834" s="40" t="s">
        <v>1668</v>
      </c>
      <c r="E834" s="21"/>
      <c r="F834" s="18" t="s">
        <v>1563</v>
      </c>
      <c r="G834" s="18" t="s">
        <v>19</v>
      </c>
      <c r="H834" s="4" t="str">
        <f t="shared" si="3"/>
        <v>140/ml</v>
      </c>
      <c r="I834" s="41">
        <v>140.0</v>
      </c>
      <c r="J834" s="21" t="s">
        <v>1669</v>
      </c>
      <c r="K834" s="16">
        <v>0.5928854999999998</v>
      </c>
      <c r="L834" s="16"/>
    </row>
    <row r="835" ht="15.75" customHeight="1">
      <c r="A835" s="17" t="s">
        <v>16</v>
      </c>
      <c r="C835" s="21" t="s">
        <v>1670</v>
      </c>
      <c r="D835" s="40" t="s">
        <v>1671</v>
      </c>
      <c r="E835" s="21"/>
      <c r="F835" s="18" t="s">
        <v>1563</v>
      </c>
      <c r="G835" s="18" t="s">
        <v>19</v>
      </c>
      <c r="H835" s="4" t="str">
        <f t="shared" si="3"/>
        <v>128/SERVING</v>
      </c>
      <c r="I835" s="41">
        <v>128.0</v>
      </c>
      <c r="J835" s="21" t="s">
        <v>1100</v>
      </c>
      <c r="K835" s="16">
        <v>4.42864140625</v>
      </c>
      <c r="L835" s="16"/>
    </row>
    <row r="836" ht="15.75" customHeight="1">
      <c r="A836" s="17" t="s">
        <v>16</v>
      </c>
      <c r="C836" s="21" t="s">
        <v>1672</v>
      </c>
      <c r="D836" s="40" t="s">
        <v>1673</v>
      </c>
      <c r="E836" s="21"/>
      <c r="F836" s="18" t="s">
        <v>1563</v>
      </c>
      <c r="G836" s="18" t="s">
        <v>19</v>
      </c>
      <c r="H836" s="4" t="str">
        <f t="shared" si="3"/>
        <v>64.61/SERVING</v>
      </c>
      <c r="I836" s="41">
        <v>64.61</v>
      </c>
      <c r="J836" s="21" t="s">
        <v>1100</v>
      </c>
      <c r="K836" s="16">
        <v>8.773658876334933</v>
      </c>
      <c r="L836" s="16"/>
    </row>
    <row r="837" ht="15.75" customHeight="1">
      <c r="A837" s="17" t="s">
        <v>16</v>
      </c>
      <c r="C837" s="21" t="s">
        <v>1674</v>
      </c>
      <c r="D837" s="40" t="s">
        <v>1675</v>
      </c>
      <c r="E837" s="21"/>
      <c r="F837" s="18" t="s">
        <v>1563</v>
      </c>
      <c r="G837" s="18" t="s">
        <v>19</v>
      </c>
      <c r="H837" s="4" t="str">
        <f t="shared" si="3"/>
        <v>16/SERVING</v>
      </c>
      <c r="I837" s="41">
        <v>16.0</v>
      </c>
      <c r="J837" s="21" t="s">
        <v>1100</v>
      </c>
      <c r="K837" s="16">
        <v>35.42913125</v>
      </c>
      <c r="L837" s="16"/>
    </row>
    <row r="838" ht="15.75" customHeight="1">
      <c r="A838" s="17" t="s">
        <v>16</v>
      </c>
      <c r="C838" s="21" t="s">
        <v>1676</v>
      </c>
      <c r="D838" s="40" t="s">
        <v>1677</v>
      </c>
      <c r="E838" s="21"/>
      <c r="F838" s="18" t="s">
        <v>1563</v>
      </c>
      <c r="G838" s="18" t="s">
        <v>19</v>
      </c>
      <c r="H838" s="4" t="str">
        <f t="shared" si="3"/>
        <v>192.5/SERVING</v>
      </c>
      <c r="I838" s="41">
        <v>192.5</v>
      </c>
      <c r="J838" s="21" t="s">
        <v>1100</v>
      </c>
      <c r="K838" s="16">
        <v>2.3502794805194807</v>
      </c>
      <c r="L838" s="16"/>
    </row>
    <row r="839" ht="15.75" customHeight="1">
      <c r="A839" s="17" t="s">
        <v>16</v>
      </c>
      <c r="C839" s="21" t="s">
        <v>1678</v>
      </c>
      <c r="D839" s="40" t="s">
        <v>1679</v>
      </c>
      <c r="E839" s="21"/>
      <c r="F839" s="18" t="s">
        <v>1563</v>
      </c>
      <c r="G839" s="18" t="s">
        <v>19</v>
      </c>
      <c r="H839" s="4" t="str">
        <f t="shared" si="3"/>
        <v>5/SERVING</v>
      </c>
      <c r="I839" s="41">
        <v>5.0</v>
      </c>
      <c r="J839" s="21" t="s">
        <v>1100</v>
      </c>
      <c r="K839" s="16">
        <v>5.2872535</v>
      </c>
      <c r="L839" s="16"/>
    </row>
    <row r="840" ht="15.75" customHeight="1">
      <c r="A840" s="17" t="s">
        <v>16</v>
      </c>
      <c r="C840" s="21" t="s">
        <v>1680</v>
      </c>
      <c r="D840" s="40" t="s">
        <v>1681</v>
      </c>
      <c r="E840" s="21"/>
      <c r="F840" s="18" t="s">
        <v>1563</v>
      </c>
      <c r="G840" s="18" t="s">
        <v>19</v>
      </c>
      <c r="H840" s="4" t="str">
        <f t="shared" si="3"/>
        <v>8/SERVING</v>
      </c>
      <c r="I840" s="41">
        <v>8.0</v>
      </c>
      <c r="J840" s="21" t="s">
        <v>1100</v>
      </c>
      <c r="K840" s="16">
        <v>225.74107142857142</v>
      </c>
      <c r="L840" s="16"/>
    </row>
    <row r="841" ht="15.75" customHeight="1">
      <c r="A841" s="17" t="s">
        <v>16</v>
      </c>
      <c r="C841" s="21" t="s">
        <v>1682</v>
      </c>
      <c r="D841" s="40" t="s">
        <v>1683</v>
      </c>
      <c r="E841" s="21"/>
      <c r="F841" s="18" t="s">
        <v>1563</v>
      </c>
      <c r="G841" s="18" t="s">
        <v>19</v>
      </c>
      <c r="H841" s="4" t="str">
        <f t="shared" si="3"/>
        <v>4/SERVING</v>
      </c>
      <c r="I841" s="41">
        <v>4.0</v>
      </c>
      <c r="J841" s="21" t="s">
        <v>1100</v>
      </c>
      <c r="K841" s="16">
        <v>56.435267857142854</v>
      </c>
      <c r="L841" s="16"/>
    </row>
    <row r="842" ht="15.75" customHeight="1">
      <c r="A842" s="17" t="s">
        <v>16</v>
      </c>
      <c r="C842" s="21" t="s">
        <v>1684</v>
      </c>
      <c r="D842" s="40" t="s">
        <v>1685</v>
      </c>
      <c r="E842" s="21"/>
      <c r="F842" s="18" t="s">
        <v>1563</v>
      </c>
      <c r="G842" s="18" t="s">
        <v>19</v>
      </c>
      <c r="H842" s="4" t="str">
        <f t="shared" si="3"/>
        <v>1/SERVING</v>
      </c>
      <c r="I842" s="41">
        <v>1.0</v>
      </c>
      <c r="J842" s="21" t="s">
        <v>1100</v>
      </c>
      <c r="K842" s="16">
        <v>225.74107142857142</v>
      </c>
      <c r="L842" s="16"/>
    </row>
    <row r="843" ht="15.75" customHeight="1">
      <c r="A843" s="17" t="s">
        <v>16</v>
      </c>
      <c r="C843" s="21" t="s">
        <v>1686</v>
      </c>
      <c r="D843" s="40" t="s">
        <v>1687</v>
      </c>
      <c r="E843" s="21"/>
      <c r="F843" s="18" t="s">
        <v>1563</v>
      </c>
      <c r="G843" s="18" t="s">
        <v>19</v>
      </c>
      <c r="H843" s="4" t="str">
        <f t="shared" si="3"/>
        <v>4.51/SERVING</v>
      </c>
      <c r="I843" s="41">
        <v>4.51</v>
      </c>
      <c r="J843" s="21" t="s">
        <v>1100</v>
      </c>
      <c r="K843" s="16">
        <v>7.848310421286032</v>
      </c>
      <c r="L843" s="16"/>
    </row>
    <row r="844" ht="15.75" customHeight="1">
      <c r="A844" s="17" t="s">
        <v>16</v>
      </c>
      <c r="C844" s="21" t="s">
        <v>1688</v>
      </c>
      <c r="D844" s="40" t="s">
        <v>1689</v>
      </c>
      <c r="E844" s="21"/>
      <c r="F844" s="18" t="s">
        <v>1563</v>
      </c>
      <c r="G844" s="18" t="s">
        <v>19</v>
      </c>
      <c r="H844" s="4" t="str">
        <f t="shared" si="3"/>
        <v>1/SERVING</v>
      </c>
      <c r="I844" s="41">
        <v>1.0</v>
      </c>
      <c r="J844" s="21" t="s">
        <v>1100</v>
      </c>
      <c r="K844" s="16">
        <v>35.15307619047619</v>
      </c>
      <c r="L844" s="16"/>
    </row>
    <row r="845" ht="15.75" customHeight="1">
      <c r="A845" s="17" t="s">
        <v>16</v>
      </c>
      <c r="C845" s="21" t="s">
        <v>1690</v>
      </c>
      <c r="D845" s="40" t="s">
        <v>1691</v>
      </c>
      <c r="E845" s="21"/>
      <c r="F845" s="18" t="s">
        <v>1563</v>
      </c>
      <c r="G845" s="18" t="s">
        <v>19</v>
      </c>
      <c r="H845" s="4" t="str">
        <f t="shared" si="3"/>
        <v>2/SERVING</v>
      </c>
      <c r="I845" s="41">
        <v>2.0</v>
      </c>
      <c r="J845" s="21" t="s">
        <v>1100</v>
      </c>
      <c r="K845" s="16">
        <v>4.22568</v>
      </c>
      <c r="L845" s="16"/>
    </row>
    <row r="846" ht="15.75" customHeight="1">
      <c r="A846" s="17" t="s">
        <v>16</v>
      </c>
      <c r="C846" s="21" t="s">
        <v>1692</v>
      </c>
      <c r="D846" s="40" t="s">
        <v>1693</v>
      </c>
      <c r="E846" s="21"/>
      <c r="F846" s="18" t="s">
        <v>1563</v>
      </c>
      <c r="G846" s="18" t="s">
        <v>19</v>
      </c>
      <c r="H846" s="4" t="str">
        <f t="shared" si="3"/>
        <v>12/SERVING</v>
      </c>
      <c r="I846" s="41">
        <v>12.0</v>
      </c>
      <c r="J846" s="21" t="s">
        <v>1100</v>
      </c>
      <c r="K846" s="16">
        <v>16.872</v>
      </c>
      <c r="L846" s="16"/>
    </row>
    <row r="847" ht="15.75" customHeight="1">
      <c r="A847" s="17" t="s">
        <v>16</v>
      </c>
      <c r="C847" s="21" t="s">
        <v>1694</v>
      </c>
      <c r="D847" s="40" t="s">
        <v>1695</v>
      </c>
      <c r="E847" s="21"/>
      <c r="F847" s="18" t="s">
        <v>1563</v>
      </c>
      <c r="G847" s="18" t="s">
        <v>19</v>
      </c>
      <c r="H847" s="4" t="str">
        <f t="shared" si="3"/>
        <v>1/SERVING</v>
      </c>
      <c r="I847" s="41">
        <v>1.0</v>
      </c>
      <c r="J847" s="21" t="s">
        <v>1100</v>
      </c>
      <c r="K847" s="16">
        <v>9.9464955</v>
      </c>
      <c r="L847" s="16"/>
    </row>
    <row r="848" ht="15.75" customHeight="1">
      <c r="A848" s="17" t="s">
        <v>16</v>
      </c>
      <c r="C848" s="21" t="s">
        <v>1696</v>
      </c>
      <c r="D848" s="40" t="s">
        <v>1697</v>
      </c>
      <c r="E848" s="21"/>
      <c r="F848" s="18" t="s">
        <v>1563</v>
      </c>
      <c r="G848" s="18" t="s">
        <v>19</v>
      </c>
      <c r="H848" s="4" t="str">
        <f t="shared" si="3"/>
        <v>6/SERVING</v>
      </c>
      <c r="I848" s="41">
        <v>6.0</v>
      </c>
      <c r="J848" s="21" t="s">
        <v>1100</v>
      </c>
      <c r="K848" s="16">
        <v>117.96445514705881</v>
      </c>
      <c r="L848" s="16"/>
    </row>
    <row r="849" ht="15.75" customHeight="1">
      <c r="A849" s="17" t="s">
        <v>16</v>
      </c>
      <c r="C849" s="21" t="s">
        <v>1698</v>
      </c>
      <c r="D849" s="40" t="s">
        <v>1699</v>
      </c>
      <c r="E849" s="21"/>
      <c r="F849" s="18" t="s">
        <v>1563</v>
      </c>
      <c r="G849" s="18" t="s">
        <v>19</v>
      </c>
      <c r="H849" s="4" t="str">
        <f t="shared" si="3"/>
        <v>1/SERVING</v>
      </c>
      <c r="I849" s="41">
        <v>1.0</v>
      </c>
      <c r="J849" s="21" t="s">
        <v>1100</v>
      </c>
      <c r="K849" s="16">
        <v>88.74007</v>
      </c>
      <c r="L849" s="16"/>
    </row>
    <row r="850" ht="15.75" customHeight="1">
      <c r="A850" s="17" t="s">
        <v>16</v>
      </c>
      <c r="C850" s="21" t="s">
        <v>1700</v>
      </c>
      <c r="D850" s="40" t="s">
        <v>1701</v>
      </c>
      <c r="E850" s="21"/>
      <c r="F850" s="18" t="s">
        <v>1563</v>
      </c>
      <c r="G850" s="18" t="s">
        <v>19</v>
      </c>
      <c r="H850" s="4" t="str">
        <f t="shared" si="3"/>
        <v>10/SERVING</v>
      </c>
      <c r="I850" s="41">
        <v>10.0</v>
      </c>
      <c r="J850" s="21" t="s">
        <v>1100</v>
      </c>
      <c r="K850" s="16">
        <v>28.846815003086505</v>
      </c>
      <c r="L850" s="16"/>
    </row>
    <row r="851" ht="15.75" customHeight="1">
      <c r="A851" s="17" t="s">
        <v>16</v>
      </c>
      <c r="C851" s="21" t="s">
        <v>1702</v>
      </c>
      <c r="D851" s="40" t="s">
        <v>1703</v>
      </c>
      <c r="E851" s="21"/>
      <c r="F851" s="18" t="s">
        <v>1563</v>
      </c>
      <c r="G851" s="18" t="s">
        <v>19</v>
      </c>
      <c r="H851" s="4" t="str">
        <f t="shared" si="3"/>
        <v>24.5/SERVING</v>
      </c>
      <c r="I851" s="41">
        <v>24.5</v>
      </c>
      <c r="J851" s="21" t="s">
        <v>1100</v>
      </c>
      <c r="K851" s="16">
        <v>4.8979591836734695</v>
      </c>
      <c r="L851" s="16"/>
    </row>
    <row r="852" ht="15.75" customHeight="1">
      <c r="A852" s="17" t="s">
        <v>16</v>
      </c>
      <c r="C852" s="21" t="s">
        <v>1704</v>
      </c>
      <c r="D852" s="40" t="s">
        <v>1705</v>
      </c>
      <c r="E852" s="21"/>
      <c r="F852" s="18" t="s">
        <v>1563</v>
      </c>
      <c r="G852" s="18" t="s">
        <v>19</v>
      </c>
      <c r="H852" s="4" t="str">
        <f t="shared" si="3"/>
        <v>30/SERVING</v>
      </c>
      <c r="I852" s="41">
        <v>30.0</v>
      </c>
      <c r="J852" s="21" t="s">
        <v>1100</v>
      </c>
      <c r="K852" s="16">
        <v>19.01100166666667</v>
      </c>
      <c r="L852" s="16"/>
    </row>
    <row r="853" ht="15.75" customHeight="1">
      <c r="A853" s="17" t="s">
        <v>16</v>
      </c>
      <c r="C853" s="21" t="s">
        <v>1706</v>
      </c>
      <c r="D853" s="40" t="s">
        <v>1707</v>
      </c>
      <c r="E853" s="21"/>
      <c r="F853" s="18" t="s">
        <v>1563</v>
      </c>
      <c r="G853" s="18" t="s">
        <v>19</v>
      </c>
      <c r="H853" s="4" t="str">
        <f t="shared" si="3"/>
        <v>1250/SERVING</v>
      </c>
      <c r="I853" s="41">
        <v>1250.0</v>
      </c>
      <c r="J853" s="21" t="s">
        <v>1100</v>
      </c>
      <c r="K853" s="16">
        <v>0.7480879864</v>
      </c>
      <c r="L853" s="16"/>
    </row>
    <row r="854" ht="15.75" customHeight="1">
      <c r="A854" s="17" t="s">
        <v>16</v>
      </c>
      <c r="C854" s="21" t="s">
        <v>1708</v>
      </c>
      <c r="D854" s="40" t="s">
        <v>1709</v>
      </c>
      <c r="E854" s="21"/>
      <c r="F854" s="18" t="s">
        <v>1563</v>
      </c>
      <c r="G854" s="18" t="s">
        <v>19</v>
      </c>
      <c r="H854" s="4" t="str">
        <f t="shared" si="3"/>
        <v>40/SERVING</v>
      </c>
      <c r="I854" s="41">
        <v>40.0</v>
      </c>
      <c r="J854" s="21" t="s">
        <v>1100</v>
      </c>
      <c r="K854" s="16">
        <v>32.19</v>
      </c>
      <c r="L854" s="16"/>
    </row>
    <row r="855" ht="15.75" customHeight="1">
      <c r="A855" s="17" t="s">
        <v>16</v>
      </c>
      <c r="C855" s="21" t="s">
        <v>1710</v>
      </c>
      <c r="D855" s="40" t="s">
        <v>1711</v>
      </c>
      <c r="E855" s="21"/>
      <c r="F855" s="18" t="s">
        <v>1563</v>
      </c>
      <c r="G855" s="18" t="s">
        <v>19</v>
      </c>
      <c r="H855" s="4" t="str">
        <f t="shared" si="3"/>
        <v>45/SERVING</v>
      </c>
      <c r="I855" s="41">
        <v>45.0</v>
      </c>
      <c r="J855" s="21" t="s">
        <v>1100</v>
      </c>
      <c r="K855" s="16">
        <v>21.75</v>
      </c>
      <c r="L855" s="16"/>
    </row>
    <row r="856" ht="15.75" customHeight="1">
      <c r="A856" s="17" t="s">
        <v>16</v>
      </c>
      <c r="C856" s="21" t="s">
        <v>1712</v>
      </c>
      <c r="D856" s="40" t="s">
        <v>1713</v>
      </c>
      <c r="E856" s="21"/>
      <c r="F856" s="18" t="s">
        <v>1563</v>
      </c>
      <c r="G856" s="18" t="s">
        <v>19</v>
      </c>
      <c r="H856" s="4" t="str">
        <f t="shared" si="3"/>
        <v>150/SERVING</v>
      </c>
      <c r="I856" s="41">
        <v>150.0</v>
      </c>
      <c r="J856" s="21" t="s">
        <v>1100</v>
      </c>
      <c r="K856" s="16">
        <v>6.54</v>
      </c>
      <c r="L856" s="16"/>
    </row>
    <row r="857" ht="15.75" customHeight="1">
      <c r="A857" s="17" t="s">
        <v>16</v>
      </c>
      <c r="C857" s="21" t="s">
        <v>1714</v>
      </c>
      <c r="D857" s="40" t="s">
        <v>1715</v>
      </c>
      <c r="E857" s="21"/>
      <c r="F857" s="18" t="s">
        <v>1563</v>
      </c>
      <c r="G857" s="18" t="s">
        <v>19</v>
      </c>
      <c r="H857" s="4" t="str">
        <f t="shared" si="3"/>
        <v>62.5/SERVING</v>
      </c>
      <c r="I857" s="41">
        <v>62.5</v>
      </c>
      <c r="J857" s="21" t="s">
        <v>1100</v>
      </c>
      <c r="K857" s="16">
        <v>98.14</v>
      </c>
      <c r="L857" s="16"/>
    </row>
    <row r="858" ht="15.75" customHeight="1">
      <c r="A858" s="17" t="s">
        <v>16</v>
      </c>
      <c r="C858" s="21" t="s">
        <v>1716</v>
      </c>
      <c r="D858" s="40" t="s">
        <v>1717</v>
      </c>
      <c r="E858" s="21"/>
      <c r="F858" s="18" t="s">
        <v>1563</v>
      </c>
      <c r="G858" s="18" t="s">
        <v>19</v>
      </c>
      <c r="H858" s="4" t="str">
        <f t="shared" si="3"/>
        <v>1/SERVING</v>
      </c>
      <c r="I858" s="41">
        <v>1.0</v>
      </c>
      <c r="J858" s="21" t="s">
        <v>1100</v>
      </c>
      <c r="K858" s="16">
        <v>7.63834</v>
      </c>
      <c r="L858" s="16"/>
    </row>
    <row r="859" ht="15.75" customHeight="1">
      <c r="A859" s="17" t="s">
        <v>16</v>
      </c>
      <c r="C859" s="21" t="s">
        <v>1718</v>
      </c>
      <c r="D859" s="40" t="s">
        <v>1719</v>
      </c>
      <c r="E859" s="21"/>
      <c r="F859" s="18" t="s">
        <v>1563</v>
      </c>
      <c r="G859" s="18" t="s">
        <v>19</v>
      </c>
      <c r="H859" s="4" t="str">
        <f t="shared" si="3"/>
        <v>80/SERVING</v>
      </c>
      <c r="I859" s="41">
        <v>80.0</v>
      </c>
      <c r="J859" s="21" t="s">
        <v>1100</v>
      </c>
      <c r="K859" s="16">
        <v>1.8971705</v>
      </c>
      <c r="L859" s="16"/>
    </row>
    <row r="860" ht="15.75" customHeight="1">
      <c r="A860" s="17" t="s">
        <v>16</v>
      </c>
      <c r="C860" s="21" t="s">
        <v>1720</v>
      </c>
      <c r="D860" s="40" t="s">
        <v>1721</v>
      </c>
      <c r="E860" s="21"/>
      <c r="F860" s="18" t="s">
        <v>1563</v>
      </c>
      <c r="G860" s="18" t="s">
        <v>19</v>
      </c>
      <c r="H860" s="4" t="str">
        <f t="shared" si="3"/>
        <v>110/SERVING</v>
      </c>
      <c r="I860" s="41">
        <v>110.0</v>
      </c>
      <c r="J860" s="21" t="s">
        <v>1100</v>
      </c>
      <c r="K860" s="16">
        <v>1.3797603636363636</v>
      </c>
      <c r="L860" s="16"/>
    </row>
    <row r="861" ht="15.75" customHeight="1">
      <c r="A861" s="17" t="s">
        <v>16</v>
      </c>
      <c r="C861" s="21" t="s">
        <v>1722</v>
      </c>
      <c r="D861" s="40" t="s">
        <v>1723</v>
      </c>
      <c r="E861" s="21"/>
      <c r="F861" s="18" t="s">
        <v>1563</v>
      </c>
      <c r="G861" s="18" t="s">
        <v>19</v>
      </c>
      <c r="H861" s="4" t="str">
        <f t="shared" si="3"/>
        <v>20/SERVING</v>
      </c>
      <c r="I861" s="41">
        <v>20.0</v>
      </c>
      <c r="J861" s="21" t="s">
        <v>1100</v>
      </c>
      <c r="K861" s="16">
        <v>6.5048</v>
      </c>
      <c r="L861" s="16"/>
    </row>
    <row r="862" ht="15.75" customHeight="1">
      <c r="A862" s="17" t="s">
        <v>16</v>
      </c>
      <c r="C862" s="21" t="s">
        <v>1724</v>
      </c>
      <c r="D862" s="40" t="s">
        <v>1725</v>
      </c>
      <c r="E862" s="21"/>
      <c r="F862" s="18" t="s">
        <v>1563</v>
      </c>
      <c r="G862" s="18" t="s">
        <v>19</v>
      </c>
      <c r="H862" s="4" t="str">
        <f t="shared" si="3"/>
        <v>80/SERVING</v>
      </c>
      <c r="I862" s="41">
        <v>80.0</v>
      </c>
      <c r="J862" s="21" t="s">
        <v>1100</v>
      </c>
      <c r="K862" s="16">
        <v>1.6262</v>
      </c>
      <c r="L862" s="16"/>
    </row>
    <row r="863" ht="15.75" customHeight="1">
      <c r="A863" s="17" t="s">
        <v>16</v>
      </c>
      <c r="C863" s="21" t="s">
        <v>1726</v>
      </c>
      <c r="D863" s="40" t="s">
        <v>1727</v>
      </c>
      <c r="E863" s="21"/>
      <c r="F863" s="18" t="s">
        <v>1563</v>
      </c>
      <c r="G863" s="18" t="s">
        <v>19</v>
      </c>
      <c r="H863" s="4" t="str">
        <f t="shared" si="3"/>
        <v>40/SERVING</v>
      </c>
      <c r="I863" s="41">
        <v>40.0</v>
      </c>
      <c r="J863" s="21" t="s">
        <v>1100</v>
      </c>
      <c r="K863" s="16">
        <v>3.2524</v>
      </c>
      <c r="L863" s="16"/>
    </row>
    <row r="864" ht="15.75" customHeight="1">
      <c r="A864" s="17" t="s">
        <v>16</v>
      </c>
      <c r="C864" s="21" t="s">
        <v>1728</v>
      </c>
      <c r="D864" s="40" t="s">
        <v>1729</v>
      </c>
      <c r="E864" s="21"/>
      <c r="F864" s="18" t="s">
        <v>1563</v>
      </c>
      <c r="G864" s="18" t="s">
        <v>19</v>
      </c>
      <c r="H864" s="4" t="str">
        <f t="shared" si="3"/>
        <v>7/SERVING</v>
      </c>
      <c r="I864" s="41">
        <v>7.0</v>
      </c>
      <c r="J864" s="21" t="s">
        <v>1100</v>
      </c>
      <c r="K864" s="16">
        <v>9.943837142857143</v>
      </c>
      <c r="L864" s="16"/>
    </row>
    <row r="865" ht="15.75" customHeight="1">
      <c r="A865" s="17" t="s">
        <v>16</v>
      </c>
      <c r="C865" s="21" t="s">
        <v>1730</v>
      </c>
      <c r="D865" s="40" t="s">
        <v>1731</v>
      </c>
      <c r="E865" s="21"/>
      <c r="F865" s="18" t="s">
        <v>1563</v>
      </c>
      <c r="G865" s="18" t="s">
        <v>19</v>
      </c>
      <c r="H865" s="4" t="str">
        <f t="shared" si="3"/>
        <v>11/SERVING</v>
      </c>
      <c r="I865" s="41">
        <v>11.0</v>
      </c>
      <c r="J865" s="21" t="s">
        <v>1100</v>
      </c>
      <c r="K865" s="16">
        <v>9.930709090909092</v>
      </c>
      <c r="L865" s="16"/>
    </row>
    <row r="866" ht="15.75" customHeight="1">
      <c r="A866" s="17" t="s">
        <v>16</v>
      </c>
      <c r="C866" s="21" t="s">
        <v>1732</v>
      </c>
      <c r="D866" s="40" t="s">
        <v>1733</v>
      </c>
      <c r="E866" s="21"/>
      <c r="F866" s="18" t="s">
        <v>1563</v>
      </c>
      <c r="G866" s="18" t="s">
        <v>19</v>
      </c>
      <c r="H866" s="4" t="str">
        <f t="shared" si="3"/>
        <v>3.22/SERVING</v>
      </c>
      <c r="I866" s="41">
        <v>3.22</v>
      </c>
      <c r="J866" s="21" t="s">
        <v>1100</v>
      </c>
      <c r="K866" s="16">
        <v>12.502555900621116</v>
      </c>
      <c r="L866" s="16"/>
    </row>
    <row r="867" ht="15.75" customHeight="1">
      <c r="A867" s="17" t="s">
        <v>16</v>
      </c>
      <c r="C867" s="21" t="s">
        <v>1734</v>
      </c>
      <c r="D867" s="40" t="s">
        <v>1735</v>
      </c>
      <c r="E867" s="21"/>
      <c r="F867" s="18" t="s">
        <v>1563</v>
      </c>
      <c r="G867" s="18" t="s">
        <v>19</v>
      </c>
      <c r="H867" s="4" t="str">
        <f t="shared" si="3"/>
        <v>2.5/SERVING</v>
      </c>
      <c r="I867" s="41">
        <v>2.5</v>
      </c>
      <c r="J867" s="21" t="s">
        <v>1100</v>
      </c>
      <c r="K867" s="16">
        <v>7.09158</v>
      </c>
      <c r="L867" s="16"/>
    </row>
    <row r="868" ht="15.75" customHeight="1">
      <c r="A868" s="17" t="s">
        <v>16</v>
      </c>
      <c r="C868" s="21" t="s">
        <v>1736</v>
      </c>
      <c r="D868" s="40" t="s">
        <v>1737</v>
      </c>
      <c r="E868" s="21"/>
      <c r="F868" s="18" t="s">
        <v>1563</v>
      </c>
      <c r="G868" s="18" t="s">
        <v>19</v>
      </c>
      <c r="H868" s="4" t="str">
        <f t="shared" si="3"/>
        <v>1/SERVING</v>
      </c>
      <c r="I868" s="41">
        <v>1.0</v>
      </c>
      <c r="J868" s="21" t="s">
        <v>1100</v>
      </c>
      <c r="K868" s="18">
        <v>107.15</v>
      </c>
      <c r="L868" s="16"/>
    </row>
    <row r="869" ht="15.75" customHeight="1">
      <c r="A869" s="17" t="s">
        <v>16</v>
      </c>
      <c r="C869" s="21" t="s">
        <v>1738</v>
      </c>
      <c r="D869" s="40" t="s">
        <v>1739</v>
      </c>
      <c r="E869" s="21"/>
      <c r="F869" s="18" t="s">
        <v>1563</v>
      </c>
      <c r="G869" s="18" t="s">
        <v>19</v>
      </c>
      <c r="H869" s="4" t="str">
        <f t="shared" si="3"/>
        <v>1/SERVING</v>
      </c>
      <c r="I869" s="41">
        <v>1.0</v>
      </c>
      <c r="J869" s="21" t="s">
        <v>1100</v>
      </c>
      <c r="K869" s="16">
        <v>154.54</v>
      </c>
      <c r="L869" s="16"/>
    </row>
    <row r="870" ht="15.75" customHeight="1">
      <c r="A870" s="17" t="s">
        <v>16</v>
      </c>
      <c r="C870" s="21" t="s">
        <v>1740</v>
      </c>
      <c r="D870" s="40" t="s">
        <v>1741</v>
      </c>
      <c r="E870" s="21"/>
      <c r="F870" s="18" t="s">
        <v>1563</v>
      </c>
      <c r="G870" s="18" t="s">
        <v>19</v>
      </c>
      <c r="H870" s="4" t="str">
        <f t="shared" si="3"/>
        <v>1/SERVING</v>
      </c>
      <c r="I870" s="41">
        <v>1.0</v>
      </c>
      <c r="J870" s="21" t="s">
        <v>1100</v>
      </c>
      <c r="K870" s="16">
        <v>9.124125000000001</v>
      </c>
      <c r="L870" s="16"/>
    </row>
    <row r="871" ht="15.75" customHeight="1">
      <c r="A871" s="17" t="s">
        <v>16</v>
      </c>
      <c r="C871" s="21" t="s">
        <v>1742</v>
      </c>
      <c r="D871" s="40" t="s">
        <v>1743</v>
      </c>
      <c r="E871" s="21"/>
      <c r="F871" s="18" t="s">
        <v>1563</v>
      </c>
      <c r="G871" s="18" t="s">
        <v>19</v>
      </c>
      <c r="H871" s="4" t="str">
        <f t="shared" si="3"/>
        <v>21/SERVING</v>
      </c>
      <c r="I871" s="41">
        <v>21.0</v>
      </c>
      <c r="J871" s="21" t="s">
        <v>1100</v>
      </c>
      <c r="K871" s="16">
        <v>13.65</v>
      </c>
      <c r="L871" s="16"/>
    </row>
    <row r="872" ht="15.75" customHeight="1">
      <c r="A872" s="17" t="s">
        <v>16</v>
      </c>
      <c r="C872" s="21" t="s">
        <v>1744</v>
      </c>
      <c r="D872" s="40" t="s">
        <v>1745</v>
      </c>
      <c r="E872" s="21"/>
      <c r="F872" s="18" t="s">
        <v>1563</v>
      </c>
      <c r="G872" s="18" t="s">
        <v>19</v>
      </c>
      <c r="H872" s="4" t="str">
        <f t="shared" si="3"/>
        <v>4/SERVING</v>
      </c>
      <c r="I872" s="41">
        <v>4.0</v>
      </c>
      <c r="J872" s="21" t="s">
        <v>1100</v>
      </c>
      <c r="K872" s="16">
        <v>161.81</v>
      </c>
      <c r="L872" s="16"/>
    </row>
    <row r="873" ht="15.75" customHeight="1">
      <c r="A873" s="17" t="s">
        <v>16</v>
      </c>
      <c r="C873" s="21" t="s">
        <v>1746</v>
      </c>
      <c r="D873" s="40" t="s">
        <v>1747</v>
      </c>
      <c r="E873" s="21"/>
      <c r="F873" s="18" t="s">
        <v>1563</v>
      </c>
      <c r="G873" s="18" t="s">
        <v>19</v>
      </c>
      <c r="H873" s="4" t="str">
        <f t="shared" si="3"/>
        <v>45/SERVING</v>
      </c>
      <c r="I873" s="41">
        <v>45.0</v>
      </c>
      <c r="J873" s="21" t="s">
        <v>1100</v>
      </c>
      <c r="K873" s="16">
        <v>2.47</v>
      </c>
      <c r="L873" s="16"/>
    </row>
    <row r="874" ht="15.75" customHeight="1">
      <c r="A874" s="17" t="s">
        <v>16</v>
      </c>
      <c r="C874" s="21" t="s">
        <v>1748</v>
      </c>
      <c r="D874" s="40" t="s">
        <v>1749</v>
      </c>
      <c r="E874" s="21"/>
      <c r="F874" s="18" t="s">
        <v>1563</v>
      </c>
      <c r="G874" s="18" t="s">
        <v>19</v>
      </c>
      <c r="H874" s="4" t="str">
        <f t="shared" si="3"/>
        <v>90/SERVING</v>
      </c>
      <c r="I874" s="41">
        <v>90.0</v>
      </c>
      <c r="J874" s="21" t="s">
        <v>1100</v>
      </c>
      <c r="K874" s="16">
        <v>4.94</v>
      </c>
      <c r="L874" s="16"/>
    </row>
    <row r="875" ht="15.75" customHeight="1">
      <c r="A875" s="17" t="s">
        <v>16</v>
      </c>
      <c r="C875" s="21" t="s">
        <v>1750</v>
      </c>
      <c r="D875" s="40" t="s">
        <v>1751</v>
      </c>
      <c r="E875" s="21"/>
      <c r="F875" s="18" t="s">
        <v>1563</v>
      </c>
      <c r="G875" s="18" t="s">
        <v>19</v>
      </c>
      <c r="H875" s="4" t="str">
        <f t="shared" si="3"/>
        <v>360/SERVING</v>
      </c>
      <c r="I875" s="41">
        <v>360.0</v>
      </c>
      <c r="J875" s="21" t="s">
        <v>1100</v>
      </c>
      <c r="K875" s="16">
        <v>19.74</v>
      </c>
      <c r="L875" s="16"/>
    </row>
    <row r="876" ht="15.75" customHeight="1">
      <c r="A876" s="17" t="s">
        <v>16</v>
      </c>
      <c r="C876" s="21" t="s">
        <v>1752</v>
      </c>
      <c r="D876" s="40" t="s">
        <v>1753</v>
      </c>
      <c r="E876" s="21"/>
      <c r="F876" s="18" t="s">
        <v>1563</v>
      </c>
      <c r="G876" s="18" t="s">
        <v>19</v>
      </c>
      <c r="H876" s="4" t="str">
        <f t="shared" si="3"/>
        <v>20.8/SERVING</v>
      </c>
      <c r="I876" s="41">
        <v>20.8</v>
      </c>
      <c r="J876" s="21" t="s">
        <v>1100</v>
      </c>
      <c r="K876" s="16">
        <v>1.71</v>
      </c>
      <c r="L876" s="16"/>
    </row>
    <row r="877" ht="15.75" customHeight="1">
      <c r="A877" s="17" t="s">
        <v>16</v>
      </c>
      <c r="C877" s="21" t="s">
        <v>1754</v>
      </c>
      <c r="D877" s="40" t="s">
        <v>1755</v>
      </c>
      <c r="E877" s="21"/>
      <c r="F877" s="18" t="s">
        <v>1563</v>
      </c>
      <c r="G877" s="18" t="s">
        <v>19</v>
      </c>
      <c r="H877" s="4" t="str">
        <f t="shared" si="3"/>
        <v>6.9/SERVING</v>
      </c>
      <c r="I877" s="41">
        <v>6.9</v>
      </c>
      <c r="J877" s="21" t="s">
        <v>1100</v>
      </c>
      <c r="K877" s="16">
        <v>3.43</v>
      </c>
      <c r="L877" s="16"/>
    </row>
    <row r="878" ht="15.75" customHeight="1">
      <c r="A878" s="17" t="s">
        <v>16</v>
      </c>
      <c r="C878" s="21" t="s">
        <v>1756</v>
      </c>
      <c r="D878" s="40" t="s">
        <v>1757</v>
      </c>
      <c r="E878" s="21"/>
      <c r="F878" s="18" t="s">
        <v>1563</v>
      </c>
      <c r="G878" s="18" t="s">
        <v>19</v>
      </c>
      <c r="H878" s="4" t="str">
        <f t="shared" si="3"/>
        <v>1.74/SERVING</v>
      </c>
      <c r="I878" s="41">
        <v>1.74</v>
      </c>
      <c r="J878" s="21" t="s">
        <v>1100</v>
      </c>
      <c r="K878" s="16">
        <v>13.71</v>
      </c>
      <c r="L878" s="16"/>
    </row>
    <row r="879" ht="15.75" customHeight="1">
      <c r="A879" s="17" t="s">
        <v>16</v>
      </c>
      <c r="C879" s="21" t="s">
        <v>1758</v>
      </c>
      <c r="D879" s="40" t="s">
        <v>1759</v>
      </c>
      <c r="E879" s="21"/>
      <c r="F879" s="18" t="s">
        <v>1563</v>
      </c>
      <c r="G879" s="18" t="s">
        <v>19</v>
      </c>
      <c r="H879" s="4" t="str">
        <f t="shared" si="3"/>
        <v>13.88/SERVING</v>
      </c>
      <c r="I879" s="41">
        <v>13.88</v>
      </c>
      <c r="J879" s="21" t="s">
        <v>1100</v>
      </c>
      <c r="K879" s="16">
        <v>3.43</v>
      </c>
      <c r="L879" s="16"/>
    </row>
    <row r="880" ht="15.75" customHeight="1">
      <c r="A880" s="17" t="s">
        <v>16</v>
      </c>
      <c r="C880" s="21" t="s">
        <v>1760</v>
      </c>
      <c r="D880" s="40" t="s">
        <v>1761</v>
      </c>
      <c r="E880" s="21"/>
      <c r="F880" s="18" t="s">
        <v>1563</v>
      </c>
      <c r="G880" s="18" t="s">
        <v>19</v>
      </c>
      <c r="H880" s="4" t="str">
        <f t="shared" si="3"/>
        <v>27.77/SERVING</v>
      </c>
      <c r="I880" s="41">
        <v>27.77</v>
      </c>
      <c r="J880" s="21" t="s">
        <v>1100</v>
      </c>
      <c r="K880" s="16">
        <v>1.71</v>
      </c>
      <c r="L880" s="16"/>
    </row>
    <row r="881" ht="15.75" customHeight="1">
      <c r="A881" s="17" t="s">
        <v>16</v>
      </c>
      <c r="C881" s="21" t="s">
        <v>1762</v>
      </c>
      <c r="D881" s="40" t="s">
        <v>1763</v>
      </c>
      <c r="E881" s="21"/>
      <c r="F881" s="18" t="s">
        <v>1563</v>
      </c>
      <c r="G881" s="18" t="s">
        <v>19</v>
      </c>
      <c r="H881" s="4" t="str">
        <f t="shared" si="3"/>
        <v>13.8/SERVING</v>
      </c>
      <c r="I881" s="41">
        <v>13.8</v>
      </c>
      <c r="J881" s="21" t="s">
        <v>1100</v>
      </c>
      <c r="K881" s="16">
        <v>1.71</v>
      </c>
      <c r="L881" s="16"/>
    </row>
    <row r="882" ht="15.75" customHeight="1">
      <c r="A882" s="17" t="s">
        <v>16</v>
      </c>
      <c r="C882" s="21" t="s">
        <v>1764</v>
      </c>
      <c r="D882" s="40" t="s">
        <v>1765</v>
      </c>
      <c r="E882" s="21"/>
      <c r="F882" s="18" t="s">
        <v>1563</v>
      </c>
      <c r="G882" s="18" t="s">
        <v>19</v>
      </c>
      <c r="H882" s="4" t="str">
        <f t="shared" si="3"/>
        <v>3.33/SERVING</v>
      </c>
      <c r="I882" s="41">
        <v>3.33</v>
      </c>
      <c r="J882" s="21" t="s">
        <v>1100</v>
      </c>
      <c r="K882" s="16">
        <v>24.88</v>
      </c>
      <c r="L882" s="16"/>
    </row>
    <row r="883" ht="15.75" customHeight="1">
      <c r="A883" s="17" t="s">
        <v>16</v>
      </c>
      <c r="C883" s="21" t="s">
        <v>1766</v>
      </c>
      <c r="D883" s="40" t="s">
        <v>1767</v>
      </c>
      <c r="E883" s="21"/>
      <c r="F883" s="18" t="s">
        <v>1563</v>
      </c>
      <c r="G883" s="18" t="s">
        <v>19</v>
      </c>
      <c r="H883" s="4" t="str">
        <f t="shared" si="3"/>
        <v>2.5/SERVING</v>
      </c>
      <c r="I883" s="41">
        <v>2.5</v>
      </c>
      <c r="J883" s="21" t="s">
        <v>1100</v>
      </c>
      <c r="K883" s="16">
        <v>33.18</v>
      </c>
      <c r="L883" s="16"/>
    </row>
    <row r="884" ht="15.75" customHeight="1">
      <c r="A884" s="17" t="s">
        <v>16</v>
      </c>
      <c r="C884" s="21" t="s">
        <v>1768</v>
      </c>
      <c r="D884" s="40" t="s">
        <v>1769</v>
      </c>
      <c r="E884" s="21"/>
      <c r="F884" s="18" t="s">
        <v>1563</v>
      </c>
      <c r="G884" s="18" t="s">
        <v>19</v>
      </c>
      <c r="H884" s="4" t="str">
        <f t="shared" si="3"/>
        <v>4/SERVING</v>
      </c>
      <c r="I884" s="41">
        <v>4.0</v>
      </c>
      <c r="J884" s="21" t="s">
        <v>1100</v>
      </c>
      <c r="K884" s="16">
        <v>24.66</v>
      </c>
      <c r="L884" s="16"/>
    </row>
    <row r="885" ht="15.75" customHeight="1">
      <c r="A885" s="17" t="s">
        <v>16</v>
      </c>
      <c r="C885" s="21" t="s">
        <v>1770</v>
      </c>
      <c r="D885" s="40" t="s">
        <v>1771</v>
      </c>
      <c r="E885" s="21"/>
      <c r="F885" s="18" t="s">
        <v>1563</v>
      </c>
      <c r="G885" s="18" t="s">
        <v>19</v>
      </c>
      <c r="H885" s="4" t="str">
        <f t="shared" si="3"/>
        <v>3/SERVING</v>
      </c>
      <c r="I885" s="41">
        <v>3.0</v>
      </c>
      <c r="J885" s="21" t="s">
        <v>1100</v>
      </c>
      <c r="K885" s="16">
        <v>32.89</v>
      </c>
      <c r="L885" s="16"/>
    </row>
    <row r="886" ht="15.75" customHeight="1">
      <c r="A886" s="17" t="s">
        <v>16</v>
      </c>
      <c r="C886" s="21" t="s">
        <v>1772</v>
      </c>
      <c r="D886" s="40" t="s">
        <v>1773</v>
      </c>
      <c r="E886" s="21"/>
      <c r="F886" s="18" t="s">
        <v>1563</v>
      </c>
      <c r="G886" s="18" t="s">
        <v>19</v>
      </c>
      <c r="H886" s="4" t="str">
        <f t="shared" si="3"/>
        <v>2250/SERVING</v>
      </c>
      <c r="I886" s="41">
        <v>2250.0</v>
      </c>
      <c r="J886" s="21" t="s">
        <v>1100</v>
      </c>
      <c r="K886" s="16">
        <v>0.22489061333333332</v>
      </c>
      <c r="L886" s="16"/>
    </row>
    <row r="887" ht="15.75" customHeight="1">
      <c r="A887" s="17" t="s">
        <v>16</v>
      </c>
      <c r="C887" s="21" t="s">
        <v>1774</v>
      </c>
      <c r="D887" s="40" t="s">
        <v>1775</v>
      </c>
      <c r="E887" s="21"/>
      <c r="F887" s="18" t="s">
        <v>1563</v>
      </c>
      <c r="G887" s="18" t="s">
        <v>19</v>
      </c>
      <c r="H887" s="4" t="str">
        <f t="shared" si="3"/>
        <v>850/SERVING</v>
      </c>
      <c r="I887" s="41">
        <v>850.0</v>
      </c>
      <c r="J887" s="21" t="s">
        <v>1100</v>
      </c>
      <c r="K887" s="16">
        <v>0.4203606352941176</v>
      </c>
      <c r="L887" s="16"/>
    </row>
    <row r="888" ht="15.75" customHeight="1">
      <c r="A888" s="17" t="s">
        <v>16</v>
      </c>
      <c r="C888" s="21" t="s">
        <v>1776</v>
      </c>
      <c r="D888" s="40" t="s">
        <v>1777</v>
      </c>
      <c r="E888" s="21"/>
      <c r="F888" s="18" t="s">
        <v>1563</v>
      </c>
      <c r="G888" s="18" t="s">
        <v>19</v>
      </c>
      <c r="H888" s="4" t="str">
        <f t="shared" si="3"/>
        <v>1/SERVING</v>
      </c>
      <c r="I888" s="41">
        <v>1.0</v>
      </c>
      <c r="J888" s="21" t="s">
        <v>1100</v>
      </c>
      <c r="K888" s="16">
        <v>88.1687431520983</v>
      </c>
      <c r="L888" s="16"/>
    </row>
    <row r="889" ht="15.75" customHeight="1">
      <c r="A889" s="17" t="s">
        <v>16</v>
      </c>
      <c r="C889" s="21" t="s">
        <v>1778</v>
      </c>
      <c r="D889" s="40" t="s">
        <v>1779</v>
      </c>
      <c r="E889" s="21"/>
      <c r="F889" s="18" t="s">
        <v>1563</v>
      </c>
      <c r="G889" s="18" t="s">
        <v>19</v>
      </c>
      <c r="H889" s="4" t="str">
        <f t="shared" si="3"/>
        <v>1/SERVING</v>
      </c>
      <c r="I889" s="41">
        <v>1.0</v>
      </c>
      <c r="J889" s="21" t="s">
        <v>1100</v>
      </c>
      <c r="K889" s="16">
        <v>136.04882722814745</v>
      </c>
      <c r="L889" s="16"/>
    </row>
    <row r="890" ht="15.75" customHeight="1">
      <c r="A890" s="17" t="s">
        <v>16</v>
      </c>
      <c r="C890" s="21" t="s">
        <v>1780</v>
      </c>
      <c r="D890" s="40" t="s">
        <v>1781</v>
      </c>
      <c r="E890" s="21"/>
      <c r="F890" s="18" t="s">
        <v>1563</v>
      </c>
      <c r="G890" s="18" t="s">
        <v>19</v>
      </c>
      <c r="H890" s="4" t="str">
        <f t="shared" si="3"/>
        <v>1/SERVING</v>
      </c>
      <c r="I890" s="41">
        <v>1.0</v>
      </c>
      <c r="J890" s="21" t="s">
        <v>1100</v>
      </c>
      <c r="K890" s="16">
        <v>59.03747157604914</v>
      </c>
      <c r="L890" s="16"/>
    </row>
    <row r="891" ht="15.75" customHeight="1">
      <c r="A891" s="17" t="s">
        <v>16</v>
      </c>
      <c r="C891" s="21" t="s">
        <v>1782</v>
      </c>
      <c r="D891" s="40" t="s">
        <v>1783</v>
      </c>
      <c r="E891" s="21"/>
      <c r="F891" s="18" t="s">
        <v>1563</v>
      </c>
      <c r="G891" s="18" t="s">
        <v>19</v>
      </c>
      <c r="H891" s="4" t="str">
        <f t="shared" si="3"/>
        <v>1000/SERVING</v>
      </c>
      <c r="I891" s="41">
        <v>1000.0</v>
      </c>
      <c r="J891" s="21" t="s">
        <v>1100</v>
      </c>
      <c r="K891" s="16">
        <v>0.20125460185185187</v>
      </c>
      <c r="L891" s="16"/>
    </row>
    <row r="892" ht="15.75" customHeight="1">
      <c r="A892" s="17" t="s">
        <v>16</v>
      </c>
      <c r="C892" s="21" t="s">
        <v>1784</v>
      </c>
      <c r="D892" s="40" t="s">
        <v>1785</v>
      </c>
      <c r="E892" s="21"/>
      <c r="F892" s="18" t="s">
        <v>1563</v>
      </c>
      <c r="G892" s="18" t="s">
        <v>19</v>
      </c>
      <c r="H892" s="4" t="str">
        <f t="shared" si="3"/>
        <v>450/SERVING</v>
      </c>
      <c r="I892" s="41">
        <v>450.0</v>
      </c>
      <c r="J892" s="21" t="s">
        <v>1100</v>
      </c>
      <c r="K892" s="16">
        <v>0.2925761111111111</v>
      </c>
      <c r="L892" s="16"/>
    </row>
    <row r="893" ht="15.75" customHeight="1">
      <c r="A893" s="17" t="s">
        <v>16</v>
      </c>
      <c r="C893" s="21" t="s">
        <v>1786</v>
      </c>
      <c r="D893" s="40" t="s">
        <v>1787</v>
      </c>
      <c r="E893" s="21"/>
      <c r="F893" s="18" t="s">
        <v>1563</v>
      </c>
      <c r="G893" s="18" t="s">
        <v>19</v>
      </c>
      <c r="H893" s="4" t="str">
        <f t="shared" si="3"/>
        <v>40/SERVING</v>
      </c>
      <c r="I893" s="41">
        <v>40.0</v>
      </c>
      <c r="J893" s="21" t="s">
        <v>1100</v>
      </c>
      <c r="K893" s="16">
        <v>3.2288567639592003</v>
      </c>
      <c r="L893" s="16"/>
    </row>
    <row r="894" ht="15.75" customHeight="1">
      <c r="A894" s="17" t="s">
        <v>16</v>
      </c>
      <c r="C894" s="21" t="s">
        <v>1788</v>
      </c>
      <c r="D894" s="40" t="s">
        <v>1789</v>
      </c>
      <c r="E894" s="21"/>
      <c r="F894" s="18" t="s">
        <v>1563</v>
      </c>
      <c r="G894" s="18" t="s">
        <v>19</v>
      </c>
      <c r="H894" s="4" t="str">
        <f t="shared" si="3"/>
        <v>1/SERVING</v>
      </c>
      <c r="I894" s="41">
        <v>1.0</v>
      </c>
      <c r="J894" s="21" t="s">
        <v>1100</v>
      </c>
      <c r="K894" s="16">
        <v>50.87124</v>
      </c>
      <c r="L894" s="16"/>
    </row>
    <row r="895" ht="15.75" customHeight="1">
      <c r="A895" s="17" t="s">
        <v>16</v>
      </c>
      <c r="C895" s="21" t="s">
        <v>1790</v>
      </c>
      <c r="D895" s="40" t="s">
        <v>1791</v>
      </c>
      <c r="E895" s="21"/>
      <c r="F895" s="18" t="s">
        <v>1563</v>
      </c>
      <c r="G895" s="18" t="s">
        <v>19</v>
      </c>
      <c r="H895" s="4" t="str">
        <f t="shared" si="3"/>
        <v>1/SERVING</v>
      </c>
      <c r="I895" s="41">
        <v>1.0</v>
      </c>
      <c r="J895" s="21" t="s">
        <v>1100</v>
      </c>
      <c r="K895" s="16">
        <v>12.42329</v>
      </c>
      <c r="L895" s="16"/>
    </row>
    <row r="896" ht="15.75" customHeight="1">
      <c r="A896" s="17" t="s">
        <v>16</v>
      </c>
      <c r="C896" s="21" t="s">
        <v>1792</v>
      </c>
      <c r="D896" s="40" t="s">
        <v>1793</v>
      </c>
      <c r="E896" s="21"/>
      <c r="F896" s="18" t="s">
        <v>1563</v>
      </c>
      <c r="G896" s="18" t="s">
        <v>19</v>
      </c>
      <c r="H896" s="4" t="str">
        <f t="shared" si="3"/>
        <v>1/SERVING</v>
      </c>
      <c r="I896" s="41">
        <v>1.0</v>
      </c>
      <c r="J896" s="21" t="s">
        <v>1100</v>
      </c>
      <c r="K896" s="16">
        <v>17.92329</v>
      </c>
      <c r="L896" s="16"/>
    </row>
    <row r="897" ht="15.75" customHeight="1">
      <c r="A897" s="17" t="s">
        <v>16</v>
      </c>
      <c r="C897" s="21" t="s">
        <v>1794</v>
      </c>
      <c r="D897" s="40" t="s">
        <v>1795</v>
      </c>
      <c r="E897" s="21"/>
      <c r="F897" s="18" t="s">
        <v>1563</v>
      </c>
      <c r="G897" s="18" t="s">
        <v>19</v>
      </c>
      <c r="H897" s="4" t="str">
        <f t="shared" si="3"/>
        <v>1/SERVING</v>
      </c>
      <c r="I897" s="41">
        <v>1.0</v>
      </c>
      <c r="J897" s="21" t="s">
        <v>1100</v>
      </c>
      <c r="K897" s="16">
        <v>23.42329</v>
      </c>
      <c r="L897" s="16"/>
    </row>
    <row r="898" ht="15.75" customHeight="1">
      <c r="A898" s="17" t="s">
        <v>16</v>
      </c>
      <c r="C898" s="21" t="s">
        <v>1796</v>
      </c>
      <c r="D898" s="40" t="s">
        <v>1797</v>
      </c>
      <c r="E898" s="21"/>
      <c r="F898" s="18" t="s">
        <v>1563</v>
      </c>
      <c r="G898" s="18" t="s">
        <v>19</v>
      </c>
      <c r="H898" s="4" t="str">
        <f t="shared" si="3"/>
        <v>1/SERVING</v>
      </c>
      <c r="I898" s="41">
        <v>1.0</v>
      </c>
      <c r="J898" s="21" t="s">
        <v>1100</v>
      </c>
      <c r="K898" s="16">
        <v>23.42329</v>
      </c>
      <c r="L898" s="16"/>
    </row>
    <row r="899" ht="15.75" customHeight="1">
      <c r="A899" s="17" t="s">
        <v>16</v>
      </c>
      <c r="C899" s="21" t="s">
        <v>1798</v>
      </c>
      <c r="D899" s="40" t="s">
        <v>1799</v>
      </c>
      <c r="E899" s="21"/>
      <c r="F899" s="18" t="s">
        <v>1563</v>
      </c>
      <c r="G899" s="18" t="s">
        <v>19</v>
      </c>
      <c r="H899" s="4" t="str">
        <f t="shared" si="3"/>
        <v>42/SERVING</v>
      </c>
      <c r="I899" s="41">
        <v>42.0</v>
      </c>
      <c r="J899" s="21" t="s">
        <v>1100</v>
      </c>
      <c r="K899" s="16">
        <v>3.1758571428571427</v>
      </c>
      <c r="L899" s="16"/>
    </row>
    <row r="900" ht="15.75" customHeight="1">
      <c r="A900" s="17" t="s">
        <v>16</v>
      </c>
      <c r="C900" s="21" t="s">
        <v>1800</v>
      </c>
      <c r="D900" s="40" t="s">
        <v>1801</v>
      </c>
      <c r="E900" s="21"/>
      <c r="F900" s="18" t="s">
        <v>1563</v>
      </c>
      <c r="G900" s="18" t="s">
        <v>19</v>
      </c>
      <c r="H900" s="4" t="str">
        <f t="shared" si="3"/>
        <v>1/SERVING</v>
      </c>
      <c r="I900" s="41">
        <v>1.0</v>
      </c>
      <c r="J900" s="21" t="s">
        <v>1100</v>
      </c>
      <c r="K900" s="16">
        <v>34.49259333333333</v>
      </c>
      <c r="L900" s="16"/>
    </row>
    <row r="901" ht="15.75" customHeight="1">
      <c r="A901" s="17" t="s">
        <v>16</v>
      </c>
      <c r="C901" s="21" t="s">
        <v>1802</v>
      </c>
      <c r="D901" s="40" t="s">
        <v>1803</v>
      </c>
      <c r="E901" s="21"/>
      <c r="F901" s="18" t="s">
        <v>1563</v>
      </c>
      <c r="G901" s="18" t="s">
        <v>19</v>
      </c>
      <c r="H901" s="4" t="str">
        <f t="shared" si="3"/>
        <v>240/grams</v>
      </c>
      <c r="I901" s="41">
        <v>240.0</v>
      </c>
      <c r="J901" s="21" t="s">
        <v>1666</v>
      </c>
      <c r="K901" s="16">
        <v>0.815043125</v>
      </c>
      <c r="L901" s="16"/>
    </row>
    <row r="902" ht="15.75" customHeight="1">
      <c r="A902" s="17" t="s">
        <v>16</v>
      </c>
      <c r="C902" s="21" t="s">
        <v>1804</v>
      </c>
      <c r="D902" s="40" t="s">
        <v>1805</v>
      </c>
      <c r="E902" s="21"/>
      <c r="F902" s="18" t="s">
        <v>1563</v>
      </c>
      <c r="G902" s="18" t="s">
        <v>19</v>
      </c>
      <c r="H902" s="4" t="str">
        <f t="shared" si="3"/>
        <v>1/SERVING</v>
      </c>
      <c r="I902" s="41">
        <v>1.0</v>
      </c>
      <c r="J902" s="21" t="s">
        <v>1100</v>
      </c>
      <c r="K902" s="18">
        <v>42.21</v>
      </c>
      <c r="L902" s="16"/>
    </row>
    <row r="903" ht="15.75" customHeight="1">
      <c r="A903" s="17" t="s">
        <v>16</v>
      </c>
      <c r="C903" s="21" t="s">
        <v>1806</v>
      </c>
      <c r="D903" s="40" t="s">
        <v>1807</v>
      </c>
      <c r="E903" s="21"/>
      <c r="F903" s="18" t="s">
        <v>1563</v>
      </c>
      <c r="G903" s="18" t="s">
        <v>19</v>
      </c>
      <c r="H903" s="4" t="str">
        <f t="shared" si="3"/>
        <v>1/SERVING</v>
      </c>
      <c r="I903" s="41">
        <v>1.0</v>
      </c>
      <c r="J903" s="21" t="s">
        <v>1100</v>
      </c>
      <c r="K903" s="18">
        <v>31.66</v>
      </c>
      <c r="L903" s="16"/>
    </row>
    <row r="904" ht="15.75" customHeight="1">
      <c r="A904" s="17" t="s">
        <v>16</v>
      </c>
      <c r="C904" s="4" t="s">
        <v>1808</v>
      </c>
      <c r="D904" s="40" t="s">
        <v>1809</v>
      </c>
      <c r="E904" s="21"/>
      <c r="F904" s="18" t="s">
        <v>1563</v>
      </c>
      <c r="G904" s="18" t="s">
        <v>19</v>
      </c>
      <c r="H904" s="4" t="str">
        <f t="shared" si="3"/>
        <v>80/SERVING</v>
      </c>
      <c r="I904" s="41">
        <v>80.0</v>
      </c>
      <c r="J904" s="21" t="s">
        <v>1100</v>
      </c>
      <c r="K904" s="16">
        <v>20.54</v>
      </c>
      <c r="L904" s="16"/>
    </row>
    <row r="905" ht="15.75" customHeight="1">
      <c r="A905" s="17" t="s">
        <v>16</v>
      </c>
      <c r="C905" s="21" t="s">
        <v>1810</v>
      </c>
      <c r="D905" s="40" t="s">
        <v>1811</v>
      </c>
      <c r="E905" s="21"/>
      <c r="F905" s="18" t="s">
        <v>1563</v>
      </c>
      <c r="G905" s="18" t="s">
        <v>19</v>
      </c>
      <c r="H905" s="4" t="str">
        <f t="shared" si="3"/>
        <v>150/SERVING</v>
      </c>
      <c r="I905" s="41">
        <v>150.0</v>
      </c>
      <c r="J905" s="21" t="s">
        <v>1100</v>
      </c>
      <c r="K905" s="16">
        <v>38.51</v>
      </c>
      <c r="L905" s="16"/>
    </row>
    <row r="906" ht="15.75" customHeight="1">
      <c r="A906" s="17" t="s">
        <v>16</v>
      </c>
      <c r="C906" s="21" t="s">
        <v>1812</v>
      </c>
      <c r="D906" s="40" t="s">
        <v>1813</v>
      </c>
      <c r="E906" s="21"/>
      <c r="F906" s="18" t="s">
        <v>1563</v>
      </c>
      <c r="G906" s="18" t="s">
        <v>19</v>
      </c>
      <c r="H906" s="4" t="str">
        <f t="shared" si="3"/>
        <v>240/SERVING</v>
      </c>
      <c r="I906" s="41">
        <v>240.0</v>
      </c>
      <c r="J906" s="21" t="s">
        <v>1100</v>
      </c>
      <c r="K906" s="16">
        <v>77.02</v>
      </c>
      <c r="L906" s="16"/>
    </row>
    <row r="907" ht="15.75" customHeight="1">
      <c r="A907" s="17" t="s">
        <v>16</v>
      </c>
      <c r="C907" s="21" t="s">
        <v>1814</v>
      </c>
      <c r="D907" s="40" t="s">
        <v>1815</v>
      </c>
      <c r="E907" s="21"/>
      <c r="F907" s="18" t="s">
        <v>1563</v>
      </c>
      <c r="G907" s="18" t="s">
        <v>19</v>
      </c>
      <c r="H907" s="4" t="str">
        <f t="shared" si="3"/>
        <v>750/SERVING</v>
      </c>
      <c r="I907" s="41">
        <v>750.0</v>
      </c>
      <c r="J907" s="21" t="s">
        <v>1100</v>
      </c>
      <c r="K907" s="16">
        <v>192.54</v>
      </c>
      <c r="L907" s="16"/>
    </row>
    <row r="908" ht="15.75" customHeight="1">
      <c r="A908" s="17" t="s">
        <v>16</v>
      </c>
      <c r="C908" s="21" t="s">
        <v>1816</v>
      </c>
      <c r="D908" s="40" t="s">
        <v>1817</v>
      </c>
      <c r="E908" s="21"/>
      <c r="F908" s="18" t="s">
        <v>1563</v>
      </c>
      <c r="G908" s="18" t="s">
        <v>19</v>
      </c>
      <c r="H908" s="4" t="str">
        <f t="shared" si="3"/>
        <v>45/SERVING</v>
      </c>
      <c r="I908" s="41">
        <v>45.0</v>
      </c>
      <c r="J908" s="21" t="s">
        <v>1100</v>
      </c>
      <c r="K908" s="16">
        <v>20.87</v>
      </c>
      <c r="L908" s="16"/>
    </row>
    <row r="909" ht="15.75" customHeight="1">
      <c r="A909" s="17" t="s">
        <v>16</v>
      </c>
      <c r="C909" s="21" t="s">
        <v>1818</v>
      </c>
      <c r="D909" s="40" t="s">
        <v>1819</v>
      </c>
      <c r="E909" s="21"/>
      <c r="F909" s="18" t="s">
        <v>1563</v>
      </c>
      <c r="G909" s="18" t="s">
        <v>19</v>
      </c>
      <c r="H909" s="4" t="str">
        <f t="shared" si="3"/>
        <v>90/SERVING</v>
      </c>
      <c r="I909" s="41">
        <v>90.0</v>
      </c>
      <c r="J909" s="21" t="s">
        <v>1100</v>
      </c>
      <c r="K909" s="16">
        <v>41.75</v>
      </c>
      <c r="L909" s="16"/>
    </row>
    <row r="910" ht="15.75" customHeight="1">
      <c r="A910" s="17" t="s">
        <v>16</v>
      </c>
      <c r="C910" s="21" t="s">
        <v>1820</v>
      </c>
      <c r="D910" s="40" t="s">
        <v>1821</v>
      </c>
      <c r="E910" s="21"/>
      <c r="F910" s="18" t="s">
        <v>1563</v>
      </c>
      <c r="G910" s="18" t="s">
        <v>19</v>
      </c>
      <c r="H910" s="4" t="str">
        <f t="shared" si="3"/>
        <v>225/SERVING</v>
      </c>
      <c r="I910" s="41">
        <v>225.0</v>
      </c>
      <c r="J910" s="21" t="s">
        <v>1100</v>
      </c>
      <c r="K910" s="16">
        <v>104.36</v>
      </c>
      <c r="L910" s="16"/>
    </row>
    <row r="911" ht="15.75" customHeight="1">
      <c r="A911" s="17" t="s">
        <v>16</v>
      </c>
      <c r="C911" s="21" t="s">
        <v>1822</v>
      </c>
      <c r="D911" s="40" t="s">
        <v>1823</v>
      </c>
      <c r="E911" s="21"/>
      <c r="F911" s="18" t="s">
        <v>1563</v>
      </c>
      <c r="G911" s="18" t="s">
        <v>19</v>
      </c>
      <c r="H911" s="4" t="str">
        <f t="shared" si="3"/>
        <v>40/SERVING</v>
      </c>
      <c r="I911" s="41">
        <v>40.0</v>
      </c>
      <c r="J911" s="21" t="s">
        <v>1100</v>
      </c>
      <c r="K911" s="16">
        <v>8.1</v>
      </c>
      <c r="L911" s="16"/>
    </row>
    <row r="912" ht="15.75" customHeight="1">
      <c r="A912" s="17" t="s">
        <v>16</v>
      </c>
      <c r="C912" s="21" t="s">
        <v>1824</v>
      </c>
      <c r="D912" s="40" t="s">
        <v>1825</v>
      </c>
      <c r="E912" s="21"/>
      <c r="F912" s="18" t="s">
        <v>1563</v>
      </c>
      <c r="G912" s="18" t="s">
        <v>19</v>
      </c>
      <c r="H912" s="4" t="str">
        <f t="shared" si="3"/>
        <v>30/SERVING</v>
      </c>
      <c r="I912" s="41">
        <v>30.0</v>
      </c>
      <c r="J912" s="21" t="s">
        <v>1100</v>
      </c>
      <c r="K912" s="16">
        <v>6.08</v>
      </c>
      <c r="L912" s="16"/>
    </row>
    <row r="913" ht="15.75" customHeight="1">
      <c r="A913" s="17" t="s">
        <v>16</v>
      </c>
      <c r="C913" s="21" t="s">
        <v>1826</v>
      </c>
      <c r="D913" s="40" t="s">
        <v>1827</v>
      </c>
      <c r="E913" s="21"/>
      <c r="F913" s="18" t="s">
        <v>1563</v>
      </c>
      <c r="G913" s="18" t="s">
        <v>19</v>
      </c>
      <c r="H913" s="4" t="str">
        <f t="shared" si="3"/>
        <v>1/batch</v>
      </c>
      <c r="I913" s="41">
        <v>1.0</v>
      </c>
      <c r="J913" s="21" t="s">
        <v>1828</v>
      </c>
      <c r="K913" s="16">
        <v>331.489</v>
      </c>
      <c r="L913" s="16"/>
    </row>
    <row r="914" ht="15.75" customHeight="1">
      <c r="A914" s="17" t="s">
        <v>16</v>
      </c>
      <c r="C914" s="21" t="s">
        <v>1829</v>
      </c>
      <c r="D914" s="40" t="s">
        <v>1830</v>
      </c>
      <c r="E914" s="21"/>
      <c r="F914" s="18" t="s">
        <v>1563</v>
      </c>
      <c r="G914" s="18" t="s">
        <v>19</v>
      </c>
      <c r="H914" s="4" t="str">
        <f t="shared" si="3"/>
        <v>1/SERVING</v>
      </c>
      <c r="I914" s="41">
        <v>1.0</v>
      </c>
      <c r="J914" s="21" t="s">
        <v>1100</v>
      </c>
      <c r="K914" s="16">
        <v>118.67373</v>
      </c>
      <c r="L914" s="16"/>
    </row>
    <row r="915" ht="15.75" customHeight="1">
      <c r="A915" s="17" t="s">
        <v>16</v>
      </c>
      <c r="C915" s="21" t="s">
        <v>1831</v>
      </c>
      <c r="D915" s="40" t="s">
        <v>1832</v>
      </c>
      <c r="E915" s="21"/>
      <c r="F915" s="18" t="s">
        <v>1563</v>
      </c>
      <c r="G915" s="18" t="s">
        <v>19</v>
      </c>
      <c r="H915" s="4" t="str">
        <f t="shared" si="3"/>
        <v>1/SERVING</v>
      </c>
      <c r="I915" s="41">
        <v>1.0</v>
      </c>
      <c r="J915" s="21" t="s">
        <v>1100</v>
      </c>
      <c r="K915" s="16">
        <v>78.869865</v>
      </c>
      <c r="L915" s="16"/>
    </row>
    <row r="916" ht="15.75" customHeight="1">
      <c r="A916" s="17" t="s">
        <v>16</v>
      </c>
      <c r="C916" s="21" t="s">
        <v>1833</v>
      </c>
      <c r="D916" s="40" t="s">
        <v>1834</v>
      </c>
      <c r="E916" s="21"/>
      <c r="F916" s="18" t="s">
        <v>1563</v>
      </c>
      <c r="G916" s="18" t="s">
        <v>19</v>
      </c>
      <c r="H916" s="4" t="str">
        <f t="shared" si="3"/>
        <v>1/SERVING</v>
      </c>
      <c r="I916" s="41">
        <v>1.0</v>
      </c>
      <c r="J916" s="21" t="s">
        <v>1100</v>
      </c>
      <c r="K916" s="16">
        <v>156.45315000000002</v>
      </c>
      <c r="L916" s="16"/>
    </row>
    <row r="917" ht="15.75" customHeight="1">
      <c r="A917" s="17" t="s">
        <v>16</v>
      </c>
      <c r="C917" s="21" t="s">
        <v>1835</v>
      </c>
      <c r="D917" s="40" t="s">
        <v>1836</v>
      </c>
      <c r="E917" s="21"/>
      <c r="F917" s="18" t="s">
        <v>1563</v>
      </c>
      <c r="G917" s="18" t="s">
        <v>19</v>
      </c>
      <c r="H917" s="4" t="str">
        <f t="shared" si="3"/>
        <v>1/SERVING</v>
      </c>
      <c r="I917" s="41">
        <v>1.0</v>
      </c>
      <c r="J917" s="21" t="s">
        <v>1100</v>
      </c>
      <c r="K917" s="16">
        <v>384.05168499999996</v>
      </c>
      <c r="L917" s="16"/>
    </row>
    <row r="918" ht="15.75" customHeight="1">
      <c r="A918" s="17" t="s">
        <v>16</v>
      </c>
      <c r="C918" s="21" t="s">
        <v>1837</v>
      </c>
      <c r="D918" s="40" t="s">
        <v>1838</v>
      </c>
      <c r="E918" s="21"/>
      <c r="F918" s="18" t="s">
        <v>1563</v>
      </c>
      <c r="G918" s="18" t="s">
        <v>19</v>
      </c>
      <c r="H918" s="4" t="str">
        <f t="shared" si="3"/>
        <v>1/SERVING</v>
      </c>
      <c r="I918" s="41">
        <v>1.0</v>
      </c>
      <c r="J918" s="21" t="s">
        <v>1100</v>
      </c>
      <c r="K918" s="16">
        <v>22.3961437</v>
      </c>
      <c r="L918" s="16"/>
    </row>
    <row r="919" ht="15.75" customHeight="1">
      <c r="A919" s="17" t="s">
        <v>16</v>
      </c>
      <c r="C919" s="21" t="s">
        <v>1839</v>
      </c>
      <c r="D919" s="40" t="s">
        <v>1840</v>
      </c>
      <c r="E919" s="21"/>
      <c r="F919" s="18" t="s">
        <v>1563</v>
      </c>
      <c r="G919" s="18" t="s">
        <v>19</v>
      </c>
      <c r="H919" s="4" t="str">
        <f t="shared" si="3"/>
        <v>1/SERVING</v>
      </c>
      <c r="I919" s="41">
        <v>1.0</v>
      </c>
      <c r="J919" s="21" t="s">
        <v>1100</v>
      </c>
      <c r="K919" s="18">
        <v>81.65</v>
      </c>
      <c r="L919" s="16"/>
    </row>
    <row r="920" ht="15.75" customHeight="1">
      <c r="A920" s="17" t="s">
        <v>16</v>
      </c>
      <c r="C920" s="21" t="s">
        <v>1841</v>
      </c>
      <c r="D920" s="40" t="s">
        <v>1842</v>
      </c>
      <c r="E920" s="21"/>
      <c r="F920" s="18" t="s">
        <v>1563</v>
      </c>
      <c r="G920" s="18" t="s">
        <v>19</v>
      </c>
      <c r="H920" s="4" t="str">
        <f t="shared" si="3"/>
        <v>1/ml</v>
      </c>
      <c r="I920" s="41">
        <v>1.0</v>
      </c>
      <c r="J920" s="21" t="s">
        <v>1669</v>
      </c>
      <c r="K920" s="16">
        <v>0.1083352</v>
      </c>
      <c r="L920" s="16"/>
    </row>
    <row r="921" ht="15.75" customHeight="1">
      <c r="A921" s="17" t="s">
        <v>16</v>
      </c>
      <c r="C921" s="21" t="s">
        <v>1843</v>
      </c>
      <c r="D921" s="40" t="s">
        <v>1844</v>
      </c>
      <c r="E921" s="21"/>
      <c r="F921" s="18" t="s">
        <v>1563</v>
      </c>
      <c r="G921" s="18" t="s">
        <v>19</v>
      </c>
      <c r="H921" s="4" t="str">
        <f t="shared" si="3"/>
        <v>1000/grams</v>
      </c>
      <c r="I921" s="41">
        <v>1000.0</v>
      </c>
      <c r="J921" s="21" t="s">
        <v>1666</v>
      </c>
      <c r="K921" s="16">
        <v>0.1</v>
      </c>
      <c r="L921" s="16"/>
    </row>
    <row r="922" ht="15.75" customHeight="1">
      <c r="A922" s="17" t="s">
        <v>16</v>
      </c>
      <c r="C922" s="21" t="s">
        <v>1845</v>
      </c>
      <c r="D922" s="40" t="s">
        <v>1846</v>
      </c>
      <c r="E922" s="21"/>
      <c r="F922" s="18" t="s">
        <v>1563</v>
      </c>
      <c r="G922" s="18" t="s">
        <v>19</v>
      </c>
      <c r="H922" s="4" t="str">
        <f t="shared" si="3"/>
        <v>750/grams</v>
      </c>
      <c r="I922" s="41">
        <v>750.0</v>
      </c>
      <c r="J922" s="21" t="s">
        <v>1666</v>
      </c>
      <c r="K922" s="16">
        <v>0.09496</v>
      </c>
      <c r="L922" s="16"/>
    </row>
    <row r="923" ht="15.75" customHeight="1">
      <c r="A923" s="17" t="s">
        <v>16</v>
      </c>
      <c r="C923" s="21" t="s">
        <v>1847</v>
      </c>
      <c r="D923" s="40" t="s">
        <v>1848</v>
      </c>
      <c r="E923" s="21"/>
      <c r="F923" s="18" t="s">
        <v>1563</v>
      </c>
      <c r="G923" s="18" t="s">
        <v>19</v>
      </c>
      <c r="H923" s="4" t="str">
        <f t="shared" si="3"/>
        <v>750/grams</v>
      </c>
      <c r="I923" s="41">
        <v>750.0</v>
      </c>
      <c r="J923" s="21" t="s">
        <v>1666</v>
      </c>
      <c r="K923" s="16">
        <v>0.08124666666666668</v>
      </c>
      <c r="L923" s="16"/>
    </row>
    <row r="924" ht="15.75" customHeight="1">
      <c r="A924" s="17" t="s">
        <v>16</v>
      </c>
      <c r="C924" s="21" t="s">
        <v>1849</v>
      </c>
      <c r="D924" s="40" t="s">
        <v>1850</v>
      </c>
      <c r="E924" s="21"/>
      <c r="F924" s="18" t="s">
        <v>1563</v>
      </c>
      <c r="G924" s="18" t="s">
        <v>19</v>
      </c>
      <c r="H924" s="4" t="str">
        <f t="shared" si="3"/>
        <v>5/SERVING</v>
      </c>
      <c r="I924" s="41">
        <v>5.0</v>
      </c>
      <c r="J924" s="21" t="s">
        <v>1100</v>
      </c>
      <c r="K924" s="16">
        <v>8.71257</v>
      </c>
      <c r="L924" s="16"/>
    </row>
    <row r="925" ht="15.75" customHeight="1">
      <c r="A925" s="17" t="s">
        <v>16</v>
      </c>
      <c r="C925" s="21" t="s">
        <v>1851</v>
      </c>
      <c r="D925" s="40" t="s">
        <v>1852</v>
      </c>
      <c r="E925" s="21"/>
      <c r="F925" s="18" t="s">
        <v>1563</v>
      </c>
      <c r="G925" s="18" t="s">
        <v>19</v>
      </c>
      <c r="H925" s="4" t="str">
        <f t="shared" si="3"/>
        <v>1000/SERVING</v>
      </c>
      <c r="I925" s="41">
        <v>1000.0</v>
      </c>
      <c r="J925" s="21" t="s">
        <v>1100</v>
      </c>
      <c r="K925" s="16">
        <v>19.63601</v>
      </c>
      <c r="L925" s="16"/>
    </row>
    <row r="926" ht="15.75" customHeight="1">
      <c r="A926" s="17" t="s">
        <v>16</v>
      </c>
      <c r="C926" s="21" t="s">
        <v>1853</v>
      </c>
      <c r="D926" s="40" t="s">
        <v>1854</v>
      </c>
      <c r="E926" s="21"/>
      <c r="F926" s="18" t="s">
        <v>1563</v>
      </c>
      <c r="G926" s="18" t="s">
        <v>19</v>
      </c>
      <c r="H926" s="4" t="str">
        <f t="shared" si="3"/>
        <v>1/SERVING</v>
      </c>
      <c r="I926" s="41">
        <v>1.0</v>
      </c>
      <c r="J926" s="21" t="s">
        <v>1100</v>
      </c>
      <c r="K926" s="16">
        <v>9.563844999999999</v>
      </c>
      <c r="L926" s="16"/>
    </row>
    <row r="927" ht="15.75" customHeight="1">
      <c r="A927" s="17" t="s">
        <v>16</v>
      </c>
      <c r="C927" s="21" t="s">
        <v>1855</v>
      </c>
      <c r="D927" s="40" t="s">
        <v>1856</v>
      </c>
      <c r="E927" s="21"/>
      <c r="F927" s="18" t="s">
        <v>1563</v>
      </c>
      <c r="G927" s="18" t="s">
        <v>19</v>
      </c>
      <c r="H927" s="4" t="str">
        <f t="shared" si="3"/>
        <v>1/SERVING</v>
      </c>
      <c r="I927" s="41">
        <v>1.0</v>
      </c>
      <c r="J927" s="21" t="s">
        <v>1100</v>
      </c>
      <c r="K927" s="16">
        <v>15.055834333333333</v>
      </c>
      <c r="L927" s="16"/>
    </row>
    <row r="928" ht="15.75" customHeight="1">
      <c r="A928" s="17" t="s">
        <v>16</v>
      </c>
      <c r="C928" s="21" t="s">
        <v>1857</v>
      </c>
      <c r="D928" s="40" t="s">
        <v>1858</v>
      </c>
      <c r="E928" s="21"/>
      <c r="F928" s="18" t="s">
        <v>1563</v>
      </c>
      <c r="G928" s="18" t="s">
        <v>19</v>
      </c>
      <c r="H928" s="4" t="str">
        <f t="shared" si="3"/>
        <v>1/SERVING</v>
      </c>
      <c r="I928" s="41">
        <v>1.0</v>
      </c>
      <c r="J928" s="21" t="s">
        <v>1100</v>
      </c>
      <c r="K928" s="16">
        <v>14.6830395</v>
      </c>
      <c r="L928" s="16"/>
    </row>
    <row r="929" ht="15.75" customHeight="1">
      <c r="A929" s="17" t="s">
        <v>16</v>
      </c>
      <c r="C929" s="21" t="s">
        <v>1859</v>
      </c>
      <c r="D929" s="40" t="s">
        <v>1860</v>
      </c>
      <c r="E929" s="21"/>
      <c r="F929" s="18" t="s">
        <v>1563</v>
      </c>
      <c r="G929" s="18" t="s">
        <v>19</v>
      </c>
      <c r="H929" s="4" t="str">
        <f t="shared" si="3"/>
        <v>1/SERVING</v>
      </c>
      <c r="I929" s="41">
        <v>1.0</v>
      </c>
      <c r="J929" s="21" t="s">
        <v>1100</v>
      </c>
      <c r="K929" s="16">
        <v>10.3424825</v>
      </c>
      <c r="L929" s="16"/>
    </row>
    <row r="930" ht="15.75" customHeight="1">
      <c r="A930" s="17" t="s">
        <v>16</v>
      </c>
      <c r="C930" s="21" t="s">
        <v>1861</v>
      </c>
      <c r="D930" s="40" t="s">
        <v>1862</v>
      </c>
      <c r="E930" s="21"/>
      <c r="F930" s="18" t="s">
        <v>1563</v>
      </c>
      <c r="G930" s="18" t="s">
        <v>19</v>
      </c>
      <c r="H930" s="4" t="str">
        <f t="shared" si="3"/>
        <v>1/ML</v>
      </c>
      <c r="I930" s="41">
        <v>1.0</v>
      </c>
      <c r="J930" s="21" t="s">
        <v>1863</v>
      </c>
      <c r="K930" s="16">
        <v>0.14839704999999997</v>
      </c>
      <c r="L930" s="16"/>
    </row>
    <row r="931" ht="15.75" customHeight="1">
      <c r="A931" s="17" t="s">
        <v>16</v>
      </c>
      <c r="C931" s="21" t="s">
        <v>1864</v>
      </c>
      <c r="D931" s="42" t="s">
        <v>1865</v>
      </c>
      <c r="E931" s="21"/>
      <c r="F931" s="18" t="s">
        <v>1563</v>
      </c>
      <c r="G931" s="18" t="s">
        <v>19</v>
      </c>
      <c r="H931" s="4" t="str">
        <f t="shared" si="3"/>
        <v>1/SERVING</v>
      </c>
      <c r="I931" s="41">
        <v>1.0</v>
      </c>
      <c r="J931" s="21" t="s">
        <v>1100</v>
      </c>
      <c r="K931" s="16">
        <v>345.86</v>
      </c>
      <c r="L931" s="16"/>
    </row>
    <row r="932" ht="15.75" customHeight="1">
      <c r="A932" s="17" t="s">
        <v>16</v>
      </c>
      <c r="C932" s="21" t="s">
        <v>1866</v>
      </c>
      <c r="D932" s="42" t="s">
        <v>1867</v>
      </c>
      <c r="E932" s="21"/>
      <c r="F932" s="18" t="s">
        <v>1563</v>
      </c>
      <c r="G932" s="18" t="s">
        <v>19</v>
      </c>
      <c r="H932" s="4" t="str">
        <f t="shared" si="3"/>
        <v>1/SERVING</v>
      </c>
      <c r="I932" s="41">
        <v>1.0</v>
      </c>
      <c r="J932" s="21" t="s">
        <v>1100</v>
      </c>
      <c r="K932" s="16">
        <v>0.1</v>
      </c>
      <c r="L932" s="16"/>
    </row>
    <row r="933" ht="15.75" customHeight="1">
      <c r="A933" s="17" t="s">
        <v>16</v>
      </c>
      <c r="C933" s="21" t="s">
        <v>1868</v>
      </c>
      <c r="D933" s="40" t="s">
        <v>1869</v>
      </c>
      <c r="E933" s="21"/>
      <c r="F933" s="18" t="s">
        <v>1563</v>
      </c>
      <c r="G933" s="18" t="s">
        <v>19</v>
      </c>
      <c r="H933" s="4" t="str">
        <f t="shared" si="3"/>
        <v>1/SERVING</v>
      </c>
      <c r="I933" s="41">
        <v>1.0</v>
      </c>
      <c r="J933" s="21" t="s">
        <v>1100</v>
      </c>
      <c r="K933" s="16">
        <v>44.88</v>
      </c>
      <c r="L933" s="16"/>
    </row>
    <row r="934" ht="15.75" customHeight="1">
      <c r="A934" s="17" t="s">
        <v>16</v>
      </c>
      <c r="C934" s="21" t="s">
        <v>1870</v>
      </c>
      <c r="D934" s="40" t="s">
        <v>1871</v>
      </c>
      <c r="E934" s="21"/>
      <c r="F934" s="18" t="s">
        <v>1563</v>
      </c>
      <c r="G934" s="18" t="s">
        <v>19</v>
      </c>
      <c r="H934" s="4" t="str">
        <f t="shared" si="3"/>
        <v>1/GRAM</v>
      </c>
      <c r="I934" s="41">
        <v>1.0</v>
      </c>
      <c r="J934" s="21" t="s">
        <v>1872</v>
      </c>
      <c r="K934" s="16">
        <v>1.33</v>
      </c>
      <c r="L934" s="16"/>
    </row>
    <row r="935" ht="15.75" customHeight="1">
      <c r="A935" s="17" t="s">
        <v>16</v>
      </c>
      <c r="C935" s="21" t="s">
        <v>1873</v>
      </c>
      <c r="D935" s="40" t="s">
        <v>1874</v>
      </c>
      <c r="E935" s="21"/>
      <c r="F935" s="18" t="s">
        <v>1563</v>
      </c>
      <c r="G935" s="18" t="s">
        <v>19</v>
      </c>
      <c r="H935" s="4" t="str">
        <f t="shared" si="3"/>
        <v>1/SERVING</v>
      </c>
      <c r="I935" s="41">
        <v>1.0</v>
      </c>
      <c r="J935" s="21" t="s">
        <v>1100</v>
      </c>
      <c r="K935" s="16">
        <v>46.71365</v>
      </c>
      <c r="L935" s="16"/>
    </row>
    <row r="936" ht="15.75" customHeight="1">
      <c r="A936" s="17" t="s">
        <v>16</v>
      </c>
      <c r="C936" s="4" t="s">
        <v>1875</v>
      </c>
      <c r="D936" s="40" t="s">
        <v>1876</v>
      </c>
      <c r="E936" s="21"/>
      <c r="F936" s="18" t="s">
        <v>1563</v>
      </c>
      <c r="G936" s="18" t="s">
        <v>19</v>
      </c>
      <c r="H936" s="4" t="str">
        <f t="shared" si="3"/>
        <v>205/SERVING</v>
      </c>
      <c r="I936" s="41">
        <v>205.0</v>
      </c>
      <c r="J936" s="21" t="s">
        <v>1100</v>
      </c>
      <c r="K936" s="16">
        <v>432.31</v>
      </c>
      <c r="L936" s="16"/>
    </row>
    <row r="937" ht="15.75" customHeight="1">
      <c r="A937" s="17" t="s">
        <v>16</v>
      </c>
      <c r="C937" s="4" t="s">
        <v>1350</v>
      </c>
      <c r="D937" s="40" t="s">
        <v>1877</v>
      </c>
      <c r="E937" s="21"/>
      <c r="F937" s="18" t="s">
        <v>1563</v>
      </c>
      <c r="G937" s="18" t="s">
        <v>19</v>
      </c>
      <c r="H937" s="4" t="str">
        <f t="shared" si="3"/>
        <v>1000/KG</v>
      </c>
      <c r="I937" s="41">
        <v>1000.0</v>
      </c>
      <c r="J937" s="3" t="s">
        <v>35</v>
      </c>
      <c r="K937" s="16">
        <v>109.85</v>
      </c>
      <c r="L937" s="16"/>
    </row>
    <row r="938" ht="15.75" customHeight="1">
      <c r="A938" s="17" t="s">
        <v>16</v>
      </c>
      <c r="C938" s="4" t="s">
        <v>1878</v>
      </c>
      <c r="D938" s="40" t="s">
        <v>1879</v>
      </c>
      <c r="E938" s="21"/>
      <c r="F938" s="18" t="s">
        <v>1563</v>
      </c>
      <c r="G938" s="18" t="s">
        <v>19</v>
      </c>
      <c r="H938" s="4" t="str">
        <f t="shared" si="3"/>
        <v>1000/KG</v>
      </c>
      <c r="I938" s="41">
        <v>1000.0</v>
      </c>
      <c r="J938" s="3" t="s">
        <v>35</v>
      </c>
      <c r="K938" s="16">
        <v>304.62</v>
      </c>
      <c r="L938" s="16"/>
    </row>
    <row r="939" ht="15.75" customHeight="1">
      <c r="A939" s="17" t="s">
        <v>16</v>
      </c>
      <c r="C939" s="4" t="s">
        <v>1880</v>
      </c>
      <c r="D939" s="40" t="s">
        <v>1881</v>
      </c>
      <c r="E939" s="21"/>
      <c r="F939" s="18" t="s">
        <v>1563</v>
      </c>
      <c r="G939" s="18" t="s">
        <v>19</v>
      </c>
      <c r="H939" s="4" t="str">
        <f t="shared" si="3"/>
        <v>1000/KG</v>
      </c>
      <c r="I939" s="41">
        <v>1000.0</v>
      </c>
      <c r="J939" s="3" t="s">
        <v>35</v>
      </c>
      <c r="K939" s="16">
        <v>194.29</v>
      </c>
      <c r="L939" s="16"/>
    </row>
    <row r="940" ht="15.75" customHeight="1">
      <c r="A940" s="17" t="s">
        <v>16</v>
      </c>
      <c r="C940" s="4" t="s">
        <v>1882</v>
      </c>
      <c r="D940" s="40" t="s">
        <v>1883</v>
      </c>
      <c r="E940" s="21"/>
      <c r="F940" s="18" t="s">
        <v>1563</v>
      </c>
      <c r="G940" s="18" t="s">
        <v>19</v>
      </c>
      <c r="H940" s="4" t="str">
        <f t="shared" si="3"/>
        <v>1/SERVING</v>
      </c>
      <c r="I940" s="41">
        <v>1.0</v>
      </c>
      <c r="J940" s="21" t="s">
        <v>1100</v>
      </c>
      <c r="K940" s="16">
        <v>36.61</v>
      </c>
      <c r="L940" s="16"/>
    </row>
    <row r="941" ht="15.75" customHeight="1">
      <c r="A941" s="17" t="s">
        <v>16</v>
      </c>
      <c r="C941" s="4" t="s">
        <v>1884</v>
      </c>
      <c r="D941" s="40" t="s">
        <v>1885</v>
      </c>
      <c r="E941" s="21"/>
      <c r="F941" s="18" t="s">
        <v>1563</v>
      </c>
      <c r="G941" s="18" t="s">
        <v>19</v>
      </c>
      <c r="H941" s="4" t="str">
        <f t="shared" si="3"/>
        <v>1000/KG</v>
      </c>
      <c r="I941" s="41">
        <v>1000.0</v>
      </c>
      <c r="J941" s="3" t="s">
        <v>35</v>
      </c>
      <c r="K941" s="16">
        <v>444.97</v>
      </c>
      <c r="L941" s="16"/>
    </row>
    <row r="942" ht="15.75" customHeight="1">
      <c r="A942" s="17" t="s">
        <v>16</v>
      </c>
      <c r="C942" s="4" t="s">
        <v>1886</v>
      </c>
      <c r="D942" s="40" t="s">
        <v>1887</v>
      </c>
      <c r="E942" s="21"/>
      <c r="F942" s="18" t="s">
        <v>1563</v>
      </c>
      <c r="G942" s="18" t="s">
        <v>19</v>
      </c>
      <c r="H942" s="4" t="str">
        <f t="shared" si="3"/>
        <v>1000/KG</v>
      </c>
      <c r="I942" s="41">
        <v>1000.0</v>
      </c>
      <c r="J942" s="3" t="s">
        <v>35</v>
      </c>
      <c r="K942" s="16">
        <v>455.69</v>
      </c>
      <c r="L942" s="16"/>
    </row>
    <row r="943" ht="15.75" customHeight="1">
      <c r="A943" s="17" t="s">
        <v>16</v>
      </c>
      <c r="C943" s="4" t="s">
        <v>1888</v>
      </c>
      <c r="D943" s="40" t="s">
        <v>1889</v>
      </c>
      <c r="E943" s="21"/>
      <c r="F943" s="18" t="s">
        <v>1563</v>
      </c>
      <c r="G943" s="18" t="s">
        <v>19</v>
      </c>
      <c r="H943" s="4" t="str">
        <f t="shared" si="3"/>
        <v>177/SERVING</v>
      </c>
      <c r="I943" s="41">
        <v>177.0</v>
      </c>
      <c r="J943" s="21" t="s">
        <v>1100</v>
      </c>
      <c r="K943" s="16">
        <v>25.2</v>
      </c>
      <c r="L943" s="16"/>
    </row>
    <row r="944" ht="15.75" customHeight="1">
      <c r="A944" s="17" t="s">
        <v>16</v>
      </c>
      <c r="C944" s="4" t="s">
        <v>1354</v>
      </c>
      <c r="D944" s="40" t="s">
        <v>1890</v>
      </c>
      <c r="E944" s="21"/>
      <c r="F944" s="18" t="s">
        <v>1563</v>
      </c>
      <c r="G944" s="18" t="s">
        <v>19</v>
      </c>
      <c r="H944" s="4" t="str">
        <f t="shared" si="3"/>
        <v>180/SERVING</v>
      </c>
      <c r="I944" s="41">
        <v>180.0</v>
      </c>
      <c r="J944" s="21" t="s">
        <v>1100</v>
      </c>
      <c r="K944" s="16">
        <v>47.73</v>
      </c>
      <c r="L944" s="16"/>
    </row>
    <row r="945" ht="12.75" customHeight="1">
      <c r="A945" s="17" t="s">
        <v>16</v>
      </c>
      <c r="C945" s="43" t="s">
        <v>1891</v>
      </c>
      <c r="D945" s="40" t="s">
        <v>1892</v>
      </c>
      <c r="E945" s="21"/>
      <c r="F945" s="18" t="s">
        <v>1563</v>
      </c>
      <c r="G945" s="18" t="s">
        <v>19</v>
      </c>
      <c r="H945" s="4" t="str">
        <f t="shared" si="3"/>
        <v>180/SERVING</v>
      </c>
      <c r="I945" s="41">
        <v>180.0</v>
      </c>
      <c r="J945" s="21" t="s">
        <v>1100</v>
      </c>
      <c r="K945" s="16">
        <v>4.94</v>
      </c>
      <c r="L945" s="16"/>
    </row>
    <row r="946" ht="15.75" customHeight="1">
      <c r="C946" s="43"/>
      <c r="D946" s="2"/>
      <c r="E946" s="2"/>
      <c r="F946" s="18"/>
      <c r="G946" s="18"/>
      <c r="H946" s="4" t="str">
        <f t="shared" si="3"/>
        <v>/</v>
      </c>
      <c r="I946" s="4"/>
      <c r="J946" s="3"/>
      <c r="K946" s="16"/>
      <c r="L946" s="16"/>
    </row>
    <row r="947" ht="15.75" customHeight="1">
      <c r="A947" s="2" t="s">
        <v>1893</v>
      </c>
      <c r="C947" s="4"/>
      <c r="F947" s="18"/>
      <c r="G947" s="18"/>
      <c r="H947" s="4" t="str">
        <f t="shared" si="3"/>
        <v>/</v>
      </c>
      <c r="I947" s="4"/>
      <c r="J947" s="3"/>
      <c r="K947" s="16"/>
      <c r="L947" s="16"/>
    </row>
    <row r="948" ht="15.75" customHeight="1">
      <c r="A948" s="17" t="s">
        <v>16</v>
      </c>
      <c r="C948" s="4" t="s">
        <v>1894</v>
      </c>
      <c r="D948" s="4" t="s">
        <v>1895</v>
      </c>
      <c r="E948" s="4"/>
      <c r="F948" s="18" t="str">
        <f t="shared" ref="F948:F1016" si="36">G948</f>
        <v>FOOD</v>
      </c>
      <c r="G948" s="18" t="s">
        <v>19</v>
      </c>
      <c r="H948" s="4" t="str">
        <f t="shared" si="3"/>
        <v>1/pc</v>
      </c>
      <c r="I948" s="4">
        <v>1.0</v>
      </c>
      <c r="J948" s="3" t="s">
        <v>321</v>
      </c>
      <c r="K948" s="16">
        <v>52.23</v>
      </c>
      <c r="L948" s="16"/>
    </row>
    <row r="949" ht="15.75" customHeight="1">
      <c r="A949" s="17" t="s">
        <v>16</v>
      </c>
      <c r="C949" s="4" t="s">
        <v>1896</v>
      </c>
      <c r="D949" s="4" t="s">
        <v>1897</v>
      </c>
      <c r="E949" s="4"/>
      <c r="F949" s="18" t="str">
        <f t="shared" si="36"/>
        <v>FOOD</v>
      </c>
      <c r="G949" s="18" t="s">
        <v>19</v>
      </c>
      <c r="H949" s="4" t="str">
        <f t="shared" si="3"/>
        <v>1000/Kg</v>
      </c>
      <c r="I949" s="4">
        <v>1000.0</v>
      </c>
      <c r="J949" s="3" t="s">
        <v>1898</v>
      </c>
      <c r="K949" s="16">
        <v>1600.0</v>
      </c>
      <c r="L949" s="16"/>
    </row>
    <row r="950" ht="15.75" customHeight="1">
      <c r="A950" s="17" t="s">
        <v>16</v>
      </c>
      <c r="C950" s="4" t="s">
        <v>1899</v>
      </c>
      <c r="D950" s="4" t="s">
        <v>1900</v>
      </c>
      <c r="E950" s="4"/>
      <c r="F950" s="18" t="str">
        <f t="shared" si="36"/>
        <v>FOOD</v>
      </c>
      <c r="G950" s="18" t="s">
        <v>19</v>
      </c>
      <c r="H950" s="4" t="str">
        <f t="shared" si="3"/>
        <v>1000/Kg</v>
      </c>
      <c r="I950" s="4">
        <v>1000.0</v>
      </c>
      <c r="J950" s="3" t="s">
        <v>1898</v>
      </c>
      <c r="K950" s="16">
        <v>800.0</v>
      </c>
      <c r="L950" s="16"/>
    </row>
    <row r="951" ht="15.75" customHeight="1">
      <c r="A951" s="17" t="s">
        <v>16</v>
      </c>
      <c r="C951" s="4" t="s">
        <v>1901</v>
      </c>
      <c r="D951" s="4" t="s">
        <v>1902</v>
      </c>
      <c r="E951" s="4"/>
      <c r="F951" s="18" t="str">
        <f t="shared" si="36"/>
        <v>FOOD</v>
      </c>
      <c r="G951" s="18" t="s">
        <v>19</v>
      </c>
      <c r="H951" s="4" t="str">
        <f t="shared" si="3"/>
        <v>100/Pack</v>
      </c>
      <c r="I951" s="4">
        <v>100.0</v>
      </c>
      <c r="J951" s="3" t="s">
        <v>441</v>
      </c>
      <c r="K951" s="16">
        <v>313.5</v>
      </c>
      <c r="L951" s="16"/>
    </row>
    <row r="952" ht="15.75" customHeight="1">
      <c r="A952" s="17" t="s">
        <v>16</v>
      </c>
      <c r="C952" s="4" t="s">
        <v>1903</v>
      </c>
      <c r="D952" s="4" t="s">
        <v>1904</v>
      </c>
      <c r="E952" s="4"/>
      <c r="F952" s="18" t="str">
        <f t="shared" si="36"/>
        <v>FOOD</v>
      </c>
      <c r="G952" s="18" t="s">
        <v>19</v>
      </c>
      <c r="H952" s="4" t="str">
        <f t="shared" si="3"/>
        <v>1000/Kg</v>
      </c>
      <c r="I952" s="4">
        <v>1000.0</v>
      </c>
      <c r="J952" s="3" t="s">
        <v>1898</v>
      </c>
      <c r="K952" s="16">
        <v>120.0</v>
      </c>
      <c r="L952" s="16"/>
    </row>
    <row r="953" ht="15.75" customHeight="1">
      <c r="A953" s="17" t="s">
        <v>16</v>
      </c>
      <c r="C953" s="4" t="s">
        <v>1905</v>
      </c>
      <c r="D953" s="4" t="s">
        <v>1906</v>
      </c>
      <c r="E953" s="4"/>
      <c r="F953" s="18" t="str">
        <f t="shared" si="36"/>
        <v>FOOD</v>
      </c>
      <c r="G953" s="18" t="s">
        <v>19</v>
      </c>
      <c r="H953" s="4" t="str">
        <f t="shared" si="3"/>
        <v>5.5/box</v>
      </c>
      <c r="I953" s="4">
        <v>5.5</v>
      </c>
      <c r="J953" s="3" t="s">
        <v>1907</v>
      </c>
      <c r="K953" s="16">
        <v>120.0</v>
      </c>
      <c r="L953" s="16"/>
    </row>
    <row r="954" ht="15.75" customHeight="1">
      <c r="A954" s="17" t="s">
        <v>16</v>
      </c>
      <c r="C954" s="4" t="s">
        <v>1908</v>
      </c>
      <c r="D954" s="4" t="s">
        <v>1909</v>
      </c>
      <c r="E954" s="4"/>
      <c r="F954" s="18" t="str">
        <f t="shared" si="36"/>
        <v>FOOD</v>
      </c>
      <c r="G954" s="18" t="s">
        <v>19</v>
      </c>
      <c r="H954" s="4" t="str">
        <f t="shared" si="3"/>
        <v>1000/kg</v>
      </c>
      <c r="I954" s="4">
        <v>1000.0</v>
      </c>
      <c r="J954" s="3" t="s">
        <v>1910</v>
      </c>
      <c r="K954" s="16">
        <v>90.0</v>
      </c>
      <c r="L954" s="16"/>
    </row>
    <row r="955" ht="15.75" customHeight="1">
      <c r="A955" s="17" t="s">
        <v>16</v>
      </c>
      <c r="C955" s="4" t="s">
        <v>1911</v>
      </c>
      <c r="D955" s="4" t="s">
        <v>1912</v>
      </c>
      <c r="E955" s="4"/>
      <c r="F955" s="18" t="str">
        <f t="shared" si="36"/>
        <v>FOOD</v>
      </c>
      <c r="G955" s="18" t="s">
        <v>19</v>
      </c>
      <c r="H955" s="4" t="str">
        <f t="shared" si="3"/>
        <v>1000/kg</v>
      </c>
      <c r="I955" s="4">
        <v>1000.0</v>
      </c>
      <c r="J955" s="3" t="s">
        <v>1910</v>
      </c>
      <c r="K955" s="16">
        <v>450.0</v>
      </c>
      <c r="L955" s="16"/>
    </row>
    <row r="956" ht="15.75" customHeight="1">
      <c r="A956" s="17" t="s">
        <v>16</v>
      </c>
      <c r="C956" s="4" t="s">
        <v>1913</v>
      </c>
      <c r="D956" s="4" t="s">
        <v>1914</v>
      </c>
      <c r="E956" s="4"/>
      <c r="F956" s="18" t="str">
        <f t="shared" si="36"/>
        <v>FOOD</v>
      </c>
      <c r="G956" s="18" t="s">
        <v>19</v>
      </c>
      <c r="H956" s="4" t="str">
        <f t="shared" si="3"/>
        <v>1000/kg</v>
      </c>
      <c r="I956" s="4">
        <v>1000.0</v>
      </c>
      <c r="J956" s="3" t="s">
        <v>1910</v>
      </c>
      <c r="K956" s="16">
        <v>200.0</v>
      </c>
      <c r="L956" s="16"/>
    </row>
    <row r="957" ht="15.75" customHeight="1">
      <c r="A957" s="17" t="s">
        <v>16</v>
      </c>
      <c r="C957" s="4" t="s">
        <v>1915</v>
      </c>
      <c r="D957" s="4" t="s">
        <v>1916</v>
      </c>
      <c r="E957" s="4"/>
      <c r="F957" s="18" t="str">
        <f t="shared" si="36"/>
        <v>FOOD</v>
      </c>
      <c r="G957" s="18" t="s">
        <v>19</v>
      </c>
      <c r="H957" s="4" t="str">
        <f t="shared" si="3"/>
        <v>1000/kg</v>
      </c>
      <c r="I957" s="18">
        <v>1000.0</v>
      </c>
      <c r="J957" s="19" t="s">
        <v>1910</v>
      </c>
      <c r="K957" s="16">
        <v>90.0</v>
      </c>
      <c r="L957" s="16"/>
    </row>
    <row r="958" ht="15.75" customHeight="1">
      <c r="A958" s="17" t="s">
        <v>16</v>
      </c>
      <c r="C958" s="4" t="s">
        <v>1917</v>
      </c>
      <c r="D958" s="4" t="s">
        <v>1918</v>
      </c>
      <c r="E958" s="4"/>
      <c r="F958" s="18" t="str">
        <f t="shared" si="36"/>
        <v>FOOD</v>
      </c>
      <c r="G958" s="18" t="s">
        <v>19</v>
      </c>
      <c r="H958" s="4" t="str">
        <f t="shared" si="3"/>
        <v>1000/kg</v>
      </c>
      <c r="I958" s="4">
        <v>1000.0</v>
      </c>
      <c r="J958" s="3" t="s">
        <v>1910</v>
      </c>
      <c r="K958" s="16">
        <v>120.0</v>
      </c>
      <c r="L958" s="16"/>
    </row>
    <row r="959" ht="15.75" customHeight="1">
      <c r="A959" s="17" t="s">
        <v>16</v>
      </c>
      <c r="C959" s="4" t="s">
        <v>1919</v>
      </c>
      <c r="D959" s="4" t="s">
        <v>1920</v>
      </c>
      <c r="E959" s="4"/>
      <c r="F959" s="18" t="str">
        <f t="shared" si="36"/>
        <v>FOOD</v>
      </c>
      <c r="G959" s="18" t="s">
        <v>19</v>
      </c>
      <c r="H959" s="4" t="str">
        <f t="shared" si="3"/>
        <v>1000/PACK</v>
      </c>
      <c r="I959" s="4">
        <v>1000.0</v>
      </c>
      <c r="J959" s="3" t="s">
        <v>23</v>
      </c>
      <c r="K959" s="16">
        <v>120.0</v>
      </c>
      <c r="L959" s="16"/>
    </row>
    <row r="960" ht="15.75" customHeight="1">
      <c r="A960" s="17" t="s">
        <v>16</v>
      </c>
      <c r="C960" s="4" t="s">
        <v>1921</v>
      </c>
      <c r="D960" s="4" t="s">
        <v>1922</v>
      </c>
      <c r="E960" s="4"/>
      <c r="F960" s="18" t="str">
        <f t="shared" si="36"/>
        <v>FOOD</v>
      </c>
      <c r="G960" s="18" t="s">
        <v>19</v>
      </c>
      <c r="H960" s="4" t="str">
        <f t="shared" si="3"/>
        <v>1000/kg</v>
      </c>
      <c r="I960" s="4">
        <v>1000.0</v>
      </c>
      <c r="J960" s="3" t="s">
        <v>1910</v>
      </c>
      <c r="K960" s="16">
        <v>470.0</v>
      </c>
      <c r="L960" s="16"/>
    </row>
    <row r="961" ht="15.75" customHeight="1">
      <c r="A961" s="17" t="s">
        <v>16</v>
      </c>
      <c r="C961" s="4" t="s">
        <v>1923</v>
      </c>
      <c r="D961" s="4" t="s">
        <v>1924</v>
      </c>
      <c r="E961" s="4"/>
      <c r="F961" s="18" t="str">
        <f t="shared" si="36"/>
        <v>FOOD</v>
      </c>
      <c r="G961" s="18" t="s">
        <v>19</v>
      </c>
      <c r="H961" s="4" t="str">
        <f t="shared" si="3"/>
        <v>1000/PACK</v>
      </c>
      <c r="I961" s="4">
        <v>1000.0</v>
      </c>
      <c r="J961" s="3" t="s">
        <v>23</v>
      </c>
      <c r="K961" s="16">
        <v>120.0</v>
      </c>
      <c r="L961" s="16"/>
    </row>
    <row r="962" ht="15.75" customHeight="1">
      <c r="A962" s="17" t="s">
        <v>16</v>
      </c>
      <c r="C962" s="4" t="s">
        <v>1925</v>
      </c>
      <c r="D962" s="4" t="s">
        <v>1926</v>
      </c>
      <c r="E962" s="4"/>
      <c r="F962" s="18" t="str">
        <f t="shared" si="36"/>
        <v>FOOD</v>
      </c>
      <c r="G962" s="18" t="s">
        <v>19</v>
      </c>
      <c r="H962" s="4" t="str">
        <f t="shared" si="3"/>
        <v>1000/PACK</v>
      </c>
      <c r="I962" s="4">
        <v>1000.0</v>
      </c>
      <c r="J962" s="3" t="s">
        <v>23</v>
      </c>
      <c r="K962" s="16">
        <v>200.0</v>
      </c>
      <c r="L962" s="16"/>
    </row>
    <row r="963" ht="15.75" customHeight="1">
      <c r="A963" s="17" t="s">
        <v>16</v>
      </c>
      <c r="C963" s="4" t="s">
        <v>1927</v>
      </c>
      <c r="D963" s="4" t="s">
        <v>1928</v>
      </c>
      <c r="E963" s="4"/>
      <c r="F963" s="18" t="str">
        <f t="shared" si="36"/>
        <v>FOOD</v>
      </c>
      <c r="G963" s="18" t="s">
        <v>19</v>
      </c>
      <c r="H963" s="4" t="str">
        <f t="shared" si="3"/>
        <v>1000/PACK</v>
      </c>
      <c r="I963" s="4">
        <v>1000.0</v>
      </c>
      <c r="J963" s="3" t="s">
        <v>23</v>
      </c>
      <c r="K963" s="16">
        <v>120.0</v>
      </c>
      <c r="L963" s="16"/>
    </row>
    <row r="964" ht="15.75" customHeight="1">
      <c r="A964" s="17" t="s">
        <v>16</v>
      </c>
      <c r="C964" s="4" t="s">
        <v>1929</v>
      </c>
      <c r="D964" s="4" t="s">
        <v>1930</v>
      </c>
      <c r="E964" s="4"/>
      <c r="F964" s="18" t="str">
        <f t="shared" si="36"/>
        <v>FOOD</v>
      </c>
      <c r="G964" s="18" t="s">
        <v>19</v>
      </c>
      <c r="H964" s="4" t="str">
        <f t="shared" si="3"/>
        <v>1000/kg</v>
      </c>
      <c r="I964" s="4">
        <v>1000.0</v>
      </c>
      <c r="J964" s="3" t="s">
        <v>1910</v>
      </c>
      <c r="K964" s="16">
        <v>160.0</v>
      </c>
      <c r="L964" s="16"/>
    </row>
    <row r="965" ht="15.75" customHeight="1">
      <c r="A965" s="17" t="s">
        <v>16</v>
      </c>
      <c r="C965" s="4" t="s">
        <v>1931</v>
      </c>
      <c r="D965" s="4" t="s">
        <v>1932</v>
      </c>
      <c r="E965" s="4"/>
      <c r="F965" s="18" t="str">
        <f t="shared" si="36"/>
        <v>FOOD</v>
      </c>
      <c r="G965" s="18" t="s">
        <v>19</v>
      </c>
      <c r="H965" s="4" t="str">
        <f t="shared" si="3"/>
        <v>1000/kg</v>
      </c>
      <c r="I965" s="18">
        <v>1000.0</v>
      </c>
      <c r="J965" s="19" t="s">
        <v>1910</v>
      </c>
      <c r="K965" s="16">
        <v>950.0</v>
      </c>
      <c r="L965" s="16"/>
    </row>
    <row r="966" ht="15.75" customHeight="1">
      <c r="A966" s="17" t="s">
        <v>16</v>
      </c>
      <c r="C966" s="4" t="s">
        <v>1933</v>
      </c>
      <c r="D966" s="4" t="s">
        <v>1934</v>
      </c>
      <c r="E966" s="4"/>
      <c r="F966" s="18" t="str">
        <f t="shared" si="36"/>
        <v>FOOD</v>
      </c>
      <c r="G966" s="18" t="s">
        <v>19</v>
      </c>
      <c r="H966" s="4" t="str">
        <f t="shared" si="3"/>
        <v>1000/kg</v>
      </c>
      <c r="I966" s="4">
        <v>1000.0</v>
      </c>
      <c r="J966" s="3" t="s">
        <v>1910</v>
      </c>
      <c r="K966" s="16">
        <v>180.0</v>
      </c>
      <c r="L966" s="16"/>
    </row>
    <row r="967" ht="15.75" customHeight="1">
      <c r="A967" s="17" t="s">
        <v>16</v>
      </c>
      <c r="C967" s="4" t="s">
        <v>1935</v>
      </c>
      <c r="D967" s="4" t="s">
        <v>1936</v>
      </c>
      <c r="E967" s="4"/>
      <c r="F967" s="18" t="str">
        <f t="shared" si="36"/>
        <v>FOOD</v>
      </c>
      <c r="G967" s="18" t="s">
        <v>19</v>
      </c>
      <c r="H967" s="4" t="str">
        <f t="shared" si="3"/>
        <v>1000/kg</v>
      </c>
      <c r="I967" s="4">
        <v>1000.0</v>
      </c>
      <c r="J967" s="3" t="s">
        <v>1910</v>
      </c>
      <c r="K967" s="16">
        <v>126.32</v>
      </c>
      <c r="L967" s="16"/>
    </row>
    <row r="968" ht="15.75" customHeight="1">
      <c r="A968" s="17" t="s">
        <v>16</v>
      </c>
      <c r="C968" s="4" t="s">
        <v>1937</v>
      </c>
      <c r="D968" s="4" t="s">
        <v>1938</v>
      </c>
      <c r="E968" s="4"/>
      <c r="F968" s="18" t="str">
        <f t="shared" si="36"/>
        <v>FOOD</v>
      </c>
      <c r="G968" s="18" t="s">
        <v>19</v>
      </c>
      <c r="H968" s="4" t="str">
        <f t="shared" si="3"/>
        <v>1000/kg</v>
      </c>
      <c r="I968" s="4">
        <v>1000.0</v>
      </c>
      <c r="J968" s="3" t="s">
        <v>1910</v>
      </c>
      <c r="K968" s="16">
        <v>800.0</v>
      </c>
      <c r="L968" s="16"/>
    </row>
    <row r="969" ht="15.75" customHeight="1">
      <c r="A969" s="17" t="s">
        <v>16</v>
      </c>
      <c r="C969" s="4" t="s">
        <v>1939</v>
      </c>
      <c r="D969" s="18" t="s">
        <v>1940</v>
      </c>
      <c r="E969" s="18"/>
      <c r="F969" s="18" t="str">
        <f t="shared" si="36"/>
        <v>FOOD</v>
      </c>
      <c r="G969" s="18" t="s">
        <v>19</v>
      </c>
      <c r="H969" s="4" t="str">
        <f t="shared" si="3"/>
        <v>1000/PACK</v>
      </c>
      <c r="I969" s="4">
        <v>1000.0</v>
      </c>
      <c r="J969" s="3" t="s">
        <v>23</v>
      </c>
      <c r="K969" s="16">
        <v>223.21</v>
      </c>
      <c r="L969" s="16"/>
    </row>
    <row r="970" ht="15.75" customHeight="1">
      <c r="A970" s="17" t="s">
        <v>16</v>
      </c>
      <c r="C970" s="4" t="s">
        <v>1941</v>
      </c>
      <c r="D970" s="18" t="s">
        <v>1942</v>
      </c>
      <c r="E970" s="18"/>
      <c r="F970" s="18" t="str">
        <f t="shared" si="36"/>
        <v>FOOD</v>
      </c>
      <c r="G970" s="18" t="s">
        <v>19</v>
      </c>
      <c r="H970" s="4" t="str">
        <f t="shared" si="3"/>
        <v>1000/KG</v>
      </c>
      <c r="I970" s="4">
        <v>1000.0</v>
      </c>
      <c r="J970" s="3" t="s">
        <v>35</v>
      </c>
      <c r="K970" s="16">
        <v>400.0</v>
      </c>
      <c r="L970" s="16"/>
    </row>
    <row r="971" ht="15.75" customHeight="1">
      <c r="A971" s="17" t="s">
        <v>16</v>
      </c>
      <c r="C971" s="4" t="s">
        <v>1943</v>
      </c>
      <c r="D971" s="18" t="s">
        <v>1944</v>
      </c>
      <c r="E971" s="18"/>
      <c r="F971" s="18" t="str">
        <f t="shared" si="36"/>
        <v>FOOD</v>
      </c>
      <c r="G971" s="18" t="s">
        <v>19</v>
      </c>
      <c r="H971" s="4" t="str">
        <f t="shared" si="3"/>
        <v>1000/Pack</v>
      </c>
      <c r="I971" s="4">
        <v>1000.0</v>
      </c>
      <c r="J971" s="3" t="s">
        <v>441</v>
      </c>
      <c r="K971" s="16">
        <v>631.58</v>
      </c>
      <c r="L971" s="16"/>
    </row>
    <row r="972" ht="15.75" customHeight="1">
      <c r="A972" s="17" t="s">
        <v>16</v>
      </c>
      <c r="C972" s="4" t="s">
        <v>1945</v>
      </c>
      <c r="D972" s="4" t="s">
        <v>1946</v>
      </c>
      <c r="E972" s="4"/>
      <c r="F972" s="18" t="str">
        <f t="shared" si="36"/>
        <v>FOOD</v>
      </c>
      <c r="G972" s="18" t="s">
        <v>19</v>
      </c>
      <c r="H972" s="4" t="str">
        <f t="shared" si="3"/>
        <v>1000/kg</v>
      </c>
      <c r="I972" s="4">
        <v>1000.0</v>
      </c>
      <c r="J972" s="3" t="s">
        <v>1910</v>
      </c>
      <c r="K972" s="16">
        <v>60.0</v>
      </c>
      <c r="L972" s="16"/>
    </row>
    <row r="973" ht="15.75" customHeight="1">
      <c r="A973" s="17" t="s">
        <v>16</v>
      </c>
      <c r="C973" s="4" t="s">
        <v>1947</v>
      </c>
      <c r="D973" s="4" t="s">
        <v>1948</v>
      </c>
      <c r="E973" s="4"/>
      <c r="F973" s="18" t="str">
        <f t="shared" si="36"/>
        <v>FOOD</v>
      </c>
      <c r="G973" s="18" t="s">
        <v>19</v>
      </c>
      <c r="H973" s="4" t="str">
        <f t="shared" si="3"/>
        <v>1000/kg</v>
      </c>
      <c r="I973" s="4">
        <v>1000.0</v>
      </c>
      <c r="J973" s="3" t="s">
        <v>1910</v>
      </c>
      <c r="K973" s="16">
        <v>120.0</v>
      </c>
      <c r="L973" s="16"/>
    </row>
    <row r="974" ht="15.75" customHeight="1">
      <c r="A974" s="17" t="s">
        <v>16</v>
      </c>
      <c r="C974" s="4" t="s">
        <v>1949</v>
      </c>
      <c r="D974" s="4" t="s">
        <v>1950</v>
      </c>
      <c r="E974" s="4"/>
      <c r="F974" s="18" t="str">
        <f t="shared" si="36"/>
        <v>FOOD</v>
      </c>
      <c r="G974" s="18" t="s">
        <v>19</v>
      </c>
      <c r="H974" s="4" t="str">
        <f t="shared" si="3"/>
        <v>1000/PACK</v>
      </c>
      <c r="I974" s="4">
        <v>1000.0</v>
      </c>
      <c r="J974" s="3" t="s">
        <v>23</v>
      </c>
      <c r="K974" s="16">
        <v>140.0</v>
      </c>
      <c r="L974" s="16"/>
    </row>
    <row r="975" ht="15.75" customHeight="1">
      <c r="A975" s="17" t="s">
        <v>16</v>
      </c>
      <c r="C975" s="4" t="s">
        <v>1951</v>
      </c>
      <c r="D975" s="4" t="s">
        <v>1952</v>
      </c>
      <c r="E975" s="4"/>
      <c r="F975" s="18" t="str">
        <f t="shared" si="36"/>
        <v>FOOD</v>
      </c>
      <c r="G975" s="18" t="s">
        <v>19</v>
      </c>
      <c r="H975" s="4" t="str">
        <f t="shared" si="3"/>
        <v>1000/kg</v>
      </c>
      <c r="I975" s="4">
        <v>1000.0</v>
      </c>
      <c r="J975" s="3" t="s">
        <v>1910</v>
      </c>
      <c r="K975" s="16">
        <v>120.0</v>
      </c>
      <c r="L975" s="16"/>
    </row>
    <row r="976" ht="15.75" customHeight="1">
      <c r="A976" s="17" t="s">
        <v>16</v>
      </c>
      <c r="C976" s="4" t="s">
        <v>1953</v>
      </c>
      <c r="D976" s="4" t="s">
        <v>1954</v>
      </c>
      <c r="E976" s="4"/>
      <c r="F976" s="18" t="str">
        <f t="shared" si="36"/>
        <v>FOOD</v>
      </c>
      <c r="G976" s="18" t="s">
        <v>19</v>
      </c>
      <c r="H976" s="4" t="str">
        <f t="shared" si="3"/>
        <v>1000/KG</v>
      </c>
      <c r="I976" s="4">
        <v>1000.0</v>
      </c>
      <c r="J976" s="3" t="s">
        <v>35</v>
      </c>
      <c r="K976" s="16">
        <v>120.0</v>
      </c>
      <c r="L976" s="16"/>
    </row>
    <row r="977" ht="15.75" customHeight="1">
      <c r="A977" s="17" t="s">
        <v>16</v>
      </c>
      <c r="C977" s="4" t="s">
        <v>1955</v>
      </c>
      <c r="D977" s="4" t="s">
        <v>1956</v>
      </c>
      <c r="E977" s="4"/>
      <c r="F977" s="18" t="str">
        <f t="shared" si="36"/>
        <v>FOOD</v>
      </c>
      <c r="G977" s="18" t="s">
        <v>19</v>
      </c>
      <c r="H977" s="4" t="str">
        <f t="shared" si="3"/>
        <v>80/Pack</v>
      </c>
      <c r="I977" s="18">
        <v>80.0</v>
      </c>
      <c r="J977" s="19" t="s">
        <v>441</v>
      </c>
      <c r="K977" s="16">
        <v>22.32</v>
      </c>
      <c r="L977" s="16"/>
    </row>
    <row r="978" ht="15.75" customHeight="1">
      <c r="A978" s="17" t="s">
        <v>16</v>
      </c>
      <c r="C978" s="4" t="s">
        <v>1957</v>
      </c>
      <c r="D978" s="4" t="s">
        <v>1958</v>
      </c>
      <c r="E978" s="4"/>
      <c r="F978" s="18" t="str">
        <f t="shared" si="36"/>
        <v>FOOD</v>
      </c>
      <c r="G978" s="18" t="s">
        <v>19</v>
      </c>
      <c r="H978" s="4" t="str">
        <f t="shared" si="3"/>
        <v>1000/Pack</v>
      </c>
      <c r="I978" s="4">
        <v>1000.0</v>
      </c>
      <c r="J978" s="3" t="s">
        <v>441</v>
      </c>
      <c r="K978" s="16">
        <v>245.53</v>
      </c>
      <c r="L978" s="16"/>
    </row>
    <row r="979" ht="15.75" customHeight="1">
      <c r="A979" s="17" t="s">
        <v>16</v>
      </c>
      <c r="C979" s="4" t="s">
        <v>1959</v>
      </c>
      <c r="D979" s="4" t="s">
        <v>1960</v>
      </c>
      <c r="E979" s="4"/>
      <c r="F979" s="18" t="str">
        <f t="shared" si="36"/>
        <v>FOOD</v>
      </c>
      <c r="G979" s="18" t="s">
        <v>19</v>
      </c>
      <c r="H979" s="4" t="str">
        <f t="shared" si="3"/>
        <v>1000/Pack</v>
      </c>
      <c r="I979" s="4">
        <v>1000.0</v>
      </c>
      <c r="J979" s="3" t="s">
        <v>441</v>
      </c>
      <c r="K979" s="16">
        <v>90.0</v>
      </c>
      <c r="L979" s="16"/>
    </row>
    <row r="980" ht="15.75" customHeight="1">
      <c r="A980" s="17" t="s">
        <v>16</v>
      </c>
      <c r="C980" s="4" t="s">
        <v>1849</v>
      </c>
      <c r="D980" s="4" t="s">
        <v>1961</v>
      </c>
      <c r="E980" s="4"/>
      <c r="F980" s="18" t="str">
        <f t="shared" si="36"/>
        <v>FOOD</v>
      </c>
      <c r="G980" s="18" t="s">
        <v>19</v>
      </c>
      <c r="H980" s="4" t="str">
        <f t="shared" si="3"/>
        <v>5/pack</v>
      </c>
      <c r="I980" s="4">
        <v>5.0</v>
      </c>
      <c r="J980" s="3" t="s">
        <v>134</v>
      </c>
      <c r="K980" s="16">
        <v>43.56</v>
      </c>
      <c r="L980" s="16"/>
    </row>
    <row r="981" ht="15.75" customHeight="1">
      <c r="A981" s="17" t="s">
        <v>16</v>
      </c>
      <c r="C981" s="4" t="s">
        <v>1962</v>
      </c>
      <c r="D981" s="4" t="s">
        <v>1963</v>
      </c>
      <c r="E981" s="4"/>
      <c r="F981" s="18" t="str">
        <f t="shared" si="36"/>
        <v>FOOD</v>
      </c>
      <c r="G981" s="18" t="s">
        <v>19</v>
      </c>
      <c r="H981" s="4" t="str">
        <f t="shared" si="3"/>
        <v>1000/kg</v>
      </c>
      <c r="I981" s="4">
        <v>1000.0</v>
      </c>
      <c r="J981" s="3" t="s">
        <v>1910</v>
      </c>
      <c r="K981" s="16">
        <v>189.47</v>
      </c>
      <c r="L981" s="16"/>
    </row>
    <row r="982" ht="15.75" customHeight="1">
      <c r="A982" s="17" t="s">
        <v>16</v>
      </c>
      <c r="C982" s="4" t="s">
        <v>1964</v>
      </c>
      <c r="D982" s="4" t="s">
        <v>1965</v>
      </c>
      <c r="E982" s="4"/>
      <c r="F982" s="18" t="str">
        <f t="shared" si="36"/>
        <v>FOOD</v>
      </c>
      <c r="G982" s="18" t="s">
        <v>19</v>
      </c>
      <c r="H982" s="4" t="str">
        <f t="shared" si="3"/>
        <v>1000/KG</v>
      </c>
      <c r="I982" s="4">
        <v>1000.0</v>
      </c>
      <c r="J982" s="3" t="s">
        <v>35</v>
      </c>
      <c r="K982" s="16">
        <v>60.0</v>
      </c>
      <c r="L982" s="16"/>
    </row>
    <row r="983" ht="15.75" customHeight="1">
      <c r="A983" s="17" t="s">
        <v>16</v>
      </c>
      <c r="C983" s="4" t="s">
        <v>1966</v>
      </c>
      <c r="D983" s="4" t="s">
        <v>1967</v>
      </c>
      <c r="E983" s="4"/>
      <c r="F983" s="18" t="str">
        <f t="shared" si="36"/>
        <v>FOOD</v>
      </c>
      <c r="G983" s="18" t="s">
        <v>19</v>
      </c>
      <c r="H983" s="4" t="str">
        <f t="shared" si="3"/>
        <v>1000/can</v>
      </c>
      <c r="I983" s="4">
        <v>1000.0</v>
      </c>
      <c r="J983" s="3" t="s">
        <v>1968</v>
      </c>
      <c r="K983" s="16">
        <v>120.0</v>
      </c>
      <c r="L983" s="16"/>
    </row>
    <row r="984" ht="15.75" customHeight="1">
      <c r="A984" s="17" t="s">
        <v>16</v>
      </c>
      <c r="C984" s="4" t="s">
        <v>1969</v>
      </c>
      <c r="D984" s="4" t="s">
        <v>1970</v>
      </c>
      <c r="E984" s="4"/>
      <c r="F984" s="18" t="str">
        <f t="shared" si="36"/>
        <v>FOOD</v>
      </c>
      <c r="G984" s="18" t="s">
        <v>19</v>
      </c>
      <c r="H984" s="4" t="str">
        <f t="shared" si="3"/>
        <v>1000/KG</v>
      </c>
      <c r="I984" s="4">
        <v>1000.0</v>
      </c>
      <c r="J984" s="3" t="s">
        <v>35</v>
      </c>
      <c r="K984" s="16">
        <v>160.0</v>
      </c>
      <c r="L984" s="16"/>
    </row>
    <row r="985" ht="15.75" customHeight="1">
      <c r="A985" s="17" t="s">
        <v>16</v>
      </c>
      <c r="C985" s="4" t="s">
        <v>1971</v>
      </c>
      <c r="D985" s="4" t="s">
        <v>1972</v>
      </c>
      <c r="E985" s="4"/>
      <c r="F985" s="18" t="str">
        <f t="shared" si="36"/>
        <v>FOOD</v>
      </c>
      <c r="G985" s="18" t="s">
        <v>19</v>
      </c>
      <c r="H985" s="4" t="str">
        <f t="shared" si="3"/>
        <v>1/Pc</v>
      </c>
      <c r="I985" s="18">
        <v>1.0</v>
      </c>
      <c r="J985" s="19" t="s">
        <v>1973</v>
      </c>
      <c r="K985" s="16">
        <v>260.27</v>
      </c>
      <c r="L985" s="16"/>
    </row>
    <row r="986" ht="15.75" customHeight="1">
      <c r="A986" s="17" t="s">
        <v>16</v>
      </c>
      <c r="C986" s="4" t="s">
        <v>1974</v>
      </c>
      <c r="D986" s="18" t="s">
        <v>1975</v>
      </c>
      <c r="E986" s="18"/>
      <c r="F986" s="18" t="str">
        <f t="shared" si="36"/>
        <v>FOOD</v>
      </c>
      <c r="G986" s="18" t="s">
        <v>19</v>
      </c>
      <c r="H986" s="4" t="str">
        <f t="shared" si="3"/>
        <v>1/Pc</v>
      </c>
      <c r="I986" s="4">
        <v>1.0</v>
      </c>
      <c r="J986" s="3" t="s">
        <v>1973</v>
      </c>
      <c r="K986" s="16">
        <v>260.27</v>
      </c>
      <c r="L986" s="16"/>
    </row>
    <row r="987" ht="15.75" customHeight="1">
      <c r="A987" s="17" t="s">
        <v>16</v>
      </c>
      <c r="C987" s="4" t="s">
        <v>1976</v>
      </c>
      <c r="D987" s="4" t="s">
        <v>1977</v>
      </c>
      <c r="E987" s="4"/>
      <c r="F987" s="18" t="str">
        <f t="shared" si="36"/>
        <v>FOOD</v>
      </c>
      <c r="G987" s="18" t="s">
        <v>19</v>
      </c>
      <c r="H987" s="4" t="str">
        <f t="shared" si="3"/>
        <v>1000/KG</v>
      </c>
      <c r="I987" s="4">
        <v>1000.0</v>
      </c>
      <c r="J987" s="3" t="s">
        <v>35</v>
      </c>
      <c r="K987" s="16">
        <v>168.42</v>
      </c>
      <c r="L987" s="16"/>
    </row>
    <row r="988" ht="15.75" customHeight="1">
      <c r="A988" s="17" t="s">
        <v>16</v>
      </c>
      <c r="C988" s="4" t="s">
        <v>1978</v>
      </c>
      <c r="D988" s="4" t="s">
        <v>1979</v>
      </c>
      <c r="E988" s="4"/>
      <c r="F988" s="18" t="str">
        <f t="shared" si="36"/>
        <v>FOOD</v>
      </c>
      <c r="G988" s="18" t="s">
        <v>19</v>
      </c>
      <c r="H988" s="4" t="str">
        <f t="shared" si="3"/>
        <v>1000/kg</v>
      </c>
      <c r="I988" s="4">
        <v>1000.0</v>
      </c>
      <c r="J988" s="3" t="s">
        <v>1910</v>
      </c>
      <c r="K988" s="16">
        <v>70.0</v>
      </c>
      <c r="L988" s="16"/>
    </row>
    <row r="989" ht="15.75" customHeight="1">
      <c r="A989" s="17" t="s">
        <v>16</v>
      </c>
      <c r="C989" s="4" t="s">
        <v>1980</v>
      </c>
      <c r="D989" s="4" t="s">
        <v>1981</v>
      </c>
      <c r="E989" s="4"/>
      <c r="F989" s="18" t="str">
        <f t="shared" si="36"/>
        <v>FOOD</v>
      </c>
      <c r="G989" s="18" t="s">
        <v>19</v>
      </c>
      <c r="H989" s="4" t="str">
        <f t="shared" si="3"/>
        <v>1000/kg</v>
      </c>
      <c r="I989" s="4">
        <v>1000.0</v>
      </c>
      <c r="J989" s="3" t="s">
        <v>1910</v>
      </c>
      <c r="K989" s="16">
        <v>642.8571428571428</v>
      </c>
      <c r="L989" s="16"/>
    </row>
    <row r="990" ht="15.75" customHeight="1">
      <c r="A990" s="17" t="s">
        <v>16</v>
      </c>
      <c r="C990" s="4" t="s">
        <v>1982</v>
      </c>
      <c r="D990" s="4" t="s">
        <v>1983</v>
      </c>
      <c r="E990" s="4"/>
      <c r="F990" s="18" t="str">
        <f t="shared" si="36"/>
        <v>FOOD</v>
      </c>
      <c r="G990" s="18" t="s">
        <v>19</v>
      </c>
      <c r="H990" s="4" t="str">
        <f t="shared" si="3"/>
        <v>250/pack</v>
      </c>
      <c r="I990" s="4">
        <v>250.0</v>
      </c>
      <c r="J990" s="3" t="s">
        <v>134</v>
      </c>
      <c r="K990" s="27">
        <v>160.7142857142857</v>
      </c>
      <c r="L990" s="16"/>
    </row>
    <row r="991" ht="15.75" customHeight="1">
      <c r="A991" s="17" t="s">
        <v>16</v>
      </c>
      <c r="C991" s="4" t="s">
        <v>1984</v>
      </c>
      <c r="D991" s="4" t="s">
        <v>1985</v>
      </c>
      <c r="E991" s="4"/>
      <c r="F991" s="18" t="str">
        <f t="shared" si="36"/>
        <v>FOOD</v>
      </c>
      <c r="G991" s="18" t="s">
        <v>19</v>
      </c>
      <c r="H991" s="4" t="str">
        <f t="shared" si="3"/>
        <v>1000/pack</v>
      </c>
      <c r="I991" s="4">
        <v>1000.0</v>
      </c>
      <c r="J991" s="3" t="s">
        <v>134</v>
      </c>
      <c r="K991" s="16">
        <v>120.0</v>
      </c>
      <c r="L991" s="16"/>
    </row>
    <row r="992" ht="15.75" customHeight="1">
      <c r="A992" s="17" t="s">
        <v>16</v>
      </c>
      <c r="C992" s="4" t="s">
        <v>1986</v>
      </c>
      <c r="D992" s="4" t="s">
        <v>1987</v>
      </c>
      <c r="E992" s="4"/>
      <c r="F992" s="18" t="str">
        <f t="shared" si="36"/>
        <v>FOOD</v>
      </c>
      <c r="G992" s="18" t="s">
        <v>19</v>
      </c>
      <c r="H992" s="4" t="str">
        <f t="shared" si="3"/>
        <v>1000/kg</v>
      </c>
      <c r="I992" s="4">
        <v>1000.0</v>
      </c>
      <c r="J992" s="3" t="s">
        <v>1910</v>
      </c>
      <c r="K992" s="16">
        <v>220.0</v>
      </c>
      <c r="L992" s="16"/>
    </row>
    <row r="993" ht="15.75" customHeight="1">
      <c r="A993" s="17" t="s">
        <v>16</v>
      </c>
      <c r="C993" s="4" t="s">
        <v>1988</v>
      </c>
      <c r="D993" s="4" t="s">
        <v>1989</v>
      </c>
      <c r="E993" s="4"/>
      <c r="F993" s="18" t="str">
        <f t="shared" si="36"/>
        <v>FOOD</v>
      </c>
      <c r="G993" s="18" t="s">
        <v>19</v>
      </c>
      <c r="H993" s="4" t="str">
        <f t="shared" si="3"/>
        <v>1000/kg</v>
      </c>
      <c r="I993" s="18">
        <v>1000.0</v>
      </c>
      <c r="J993" s="19" t="s">
        <v>1910</v>
      </c>
      <c r="K993" s="16">
        <v>220.0</v>
      </c>
      <c r="L993" s="16"/>
    </row>
    <row r="994" ht="15.75" customHeight="1">
      <c r="A994" s="17" t="s">
        <v>16</v>
      </c>
      <c r="C994" s="4" t="s">
        <v>1990</v>
      </c>
      <c r="D994" s="4" t="s">
        <v>1991</v>
      </c>
      <c r="E994" s="4"/>
      <c r="F994" s="18" t="str">
        <f t="shared" si="36"/>
        <v>FOOD</v>
      </c>
      <c r="G994" s="18" t="s">
        <v>19</v>
      </c>
      <c r="H994" s="4" t="str">
        <f t="shared" si="3"/>
        <v>1/pc</v>
      </c>
      <c r="I994" s="4">
        <v>1.0</v>
      </c>
      <c r="J994" s="3" t="s">
        <v>321</v>
      </c>
      <c r="K994" s="16">
        <v>35.0</v>
      </c>
      <c r="L994" s="16"/>
    </row>
    <row r="995" ht="15.75" customHeight="1">
      <c r="A995" s="17" t="s">
        <v>16</v>
      </c>
      <c r="C995" s="4" t="s">
        <v>1992</v>
      </c>
      <c r="D995" s="4" t="s">
        <v>1993</v>
      </c>
      <c r="E995" s="4"/>
      <c r="F995" s="18" t="str">
        <f t="shared" si="36"/>
        <v>FOOD</v>
      </c>
      <c r="G995" s="18" t="s">
        <v>19</v>
      </c>
      <c r="H995" s="4" t="str">
        <f t="shared" si="3"/>
        <v>150/Pack</v>
      </c>
      <c r="I995" s="4">
        <v>150.0</v>
      </c>
      <c r="J995" s="3" t="s">
        <v>441</v>
      </c>
      <c r="K995" s="16">
        <v>297.34</v>
      </c>
      <c r="L995" s="16"/>
    </row>
    <row r="996" ht="15.75" customHeight="1">
      <c r="A996" s="17" t="s">
        <v>16</v>
      </c>
      <c r="C996" s="4" t="s">
        <v>1994</v>
      </c>
      <c r="D996" s="4" t="s">
        <v>1995</v>
      </c>
      <c r="E996" s="4"/>
      <c r="F996" s="18" t="str">
        <f t="shared" si="36"/>
        <v>FOOD</v>
      </c>
      <c r="G996" s="18" t="s">
        <v>19</v>
      </c>
      <c r="H996" s="4" t="str">
        <f t="shared" si="3"/>
        <v>1000/kg</v>
      </c>
      <c r="I996" s="4">
        <v>1000.0</v>
      </c>
      <c r="J996" s="3" t="s">
        <v>1910</v>
      </c>
      <c r="K996" s="16">
        <v>600.0</v>
      </c>
      <c r="L996" s="16"/>
    </row>
    <row r="997" ht="15.75" customHeight="1">
      <c r="A997" s="17" t="s">
        <v>16</v>
      </c>
      <c r="C997" s="4" t="s">
        <v>1996</v>
      </c>
      <c r="D997" s="4" t="s">
        <v>1997</v>
      </c>
      <c r="E997" s="4"/>
      <c r="F997" s="18" t="str">
        <f t="shared" si="36"/>
        <v>FOOD</v>
      </c>
      <c r="G997" s="18" t="s">
        <v>19</v>
      </c>
      <c r="H997" s="4" t="str">
        <f t="shared" si="3"/>
        <v>1000/KG</v>
      </c>
      <c r="I997" s="4">
        <v>1000.0</v>
      </c>
      <c r="J997" s="3" t="s">
        <v>35</v>
      </c>
      <c r="K997" s="16">
        <v>276.7857142857143</v>
      </c>
      <c r="L997" s="16"/>
    </row>
    <row r="998" ht="15.75" customHeight="1">
      <c r="A998" s="17" t="s">
        <v>16</v>
      </c>
      <c r="C998" s="4" t="s">
        <v>1998</v>
      </c>
      <c r="D998" s="4" t="s">
        <v>1999</v>
      </c>
      <c r="E998" s="4"/>
      <c r="F998" s="18" t="str">
        <f t="shared" si="36"/>
        <v>FOOD</v>
      </c>
      <c r="G998" s="18" t="s">
        <v>19</v>
      </c>
      <c r="H998" s="4" t="str">
        <f t="shared" si="3"/>
        <v>1000/kg</v>
      </c>
      <c r="I998" s="4">
        <v>1000.0</v>
      </c>
      <c r="J998" s="3" t="s">
        <v>1910</v>
      </c>
      <c r="K998" s="16">
        <v>90.0</v>
      </c>
      <c r="L998" s="16"/>
    </row>
    <row r="999" ht="15.75" customHeight="1">
      <c r="A999" s="17" t="s">
        <v>16</v>
      </c>
      <c r="C999" s="4" t="s">
        <v>2000</v>
      </c>
      <c r="D999" s="4" t="s">
        <v>2001</v>
      </c>
      <c r="E999" s="4"/>
      <c r="F999" s="18" t="str">
        <f t="shared" si="36"/>
        <v>FOOD</v>
      </c>
      <c r="G999" s="18" t="s">
        <v>19</v>
      </c>
      <c r="H999" s="4" t="str">
        <f t="shared" si="3"/>
        <v>1000/kg</v>
      </c>
      <c r="I999" s="4">
        <v>1000.0</v>
      </c>
      <c r="J999" s="3" t="s">
        <v>1910</v>
      </c>
      <c r="K999" s="16">
        <v>110.0</v>
      </c>
      <c r="L999" s="16"/>
    </row>
    <row r="1000" ht="15.75" customHeight="1">
      <c r="A1000" s="17" t="s">
        <v>16</v>
      </c>
      <c r="C1000" s="4" t="s">
        <v>2002</v>
      </c>
      <c r="D1000" s="18" t="s">
        <v>2003</v>
      </c>
      <c r="E1000" s="18"/>
      <c r="F1000" s="18" t="str">
        <f t="shared" si="36"/>
        <v>FOOD</v>
      </c>
      <c r="G1000" s="18" t="s">
        <v>19</v>
      </c>
      <c r="H1000" s="4" t="str">
        <f t="shared" si="3"/>
        <v>100/PACK</v>
      </c>
      <c r="I1000" s="4">
        <v>100.0</v>
      </c>
      <c r="J1000" s="3" t="s">
        <v>23</v>
      </c>
      <c r="K1000" s="16">
        <v>58.0</v>
      </c>
      <c r="L1000" s="16"/>
    </row>
    <row r="1001" ht="15.75" customHeight="1">
      <c r="A1001" s="17" t="s">
        <v>16</v>
      </c>
      <c r="C1001" s="4" t="s">
        <v>2004</v>
      </c>
      <c r="D1001" s="4" t="s">
        <v>2005</v>
      </c>
      <c r="E1001" s="4"/>
      <c r="F1001" s="18" t="str">
        <f t="shared" si="36"/>
        <v>FOOD</v>
      </c>
      <c r="G1001" s="18" t="s">
        <v>19</v>
      </c>
      <c r="H1001" s="4" t="str">
        <f t="shared" si="3"/>
        <v>1000/kg</v>
      </c>
      <c r="I1001" s="4">
        <v>1000.0</v>
      </c>
      <c r="J1001" s="3" t="s">
        <v>1910</v>
      </c>
      <c r="K1001" s="16">
        <v>200.0</v>
      </c>
      <c r="L1001" s="16"/>
    </row>
    <row r="1002" ht="15.75" customHeight="1">
      <c r="A1002" s="17" t="s">
        <v>16</v>
      </c>
      <c r="C1002" s="4" t="s">
        <v>2006</v>
      </c>
      <c r="D1002" s="4" t="s">
        <v>2007</v>
      </c>
      <c r="E1002" s="4"/>
      <c r="F1002" s="18" t="str">
        <f t="shared" si="36"/>
        <v>FOOD</v>
      </c>
      <c r="G1002" s="18" t="s">
        <v>19</v>
      </c>
      <c r="H1002" s="4" t="str">
        <f t="shared" si="3"/>
        <v>1000/KG</v>
      </c>
      <c r="I1002" s="4">
        <v>1000.0</v>
      </c>
      <c r="J1002" s="3" t="s">
        <v>35</v>
      </c>
      <c r="K1002" s="16">
        <v>200.0</v>
      </c>
      <c r="L1002" s="16"/>
    </row>
    <row r="1003" ht="15.75" customHeight="1">
      <c r="A1003" s="17" t="s">
        <v>16</v>
      </c>
      <c r="C1003" s="4" t="s">
        <v>2008</v>
      </c>
      <c r="D1003" s="4" t="s">
        <v>2009</v>
      </c>
      <c r="E1003" s="4"/>
      <c r="F1003" s="18" t="str">
        <f t="shared" si="36"/>
        <v>FOOD</v>
      </c>
      <c r="G1003" s="18" t="s">
        <v>19</v>
      </c>
      <c r="H1003" s="4" t="str">
        <f t="shared" si="3"/>
        <v>1000/KG</v>
      </c>
      <c r="I1003" s="4">
        <v>1000.0</v>
      </c>
      <c r="J1003" s="3" t="s">
        <v>35</v>
      </c>
      <c r="K1003" s="16">
        <v>250.0</v>
      </c>
      <c r="L1003" s="16"/>
    </row>
    <row r="1004" ht="15.75" customHeight="1">
      <c r="A1004" s="17" t="s">
        <v>16</v>
      </c>
      <c r="C1004" s="4" t="s">
        <v>2010</v>
      </c>
      <c r="D1004" s="4" t="s">
        <v>2011</v>
      </c>
      <c r="E1004" s="4"/>
      <c r="F1004" s="18" t="str">
        <f t="shared" si="36"/>
        <v>FOOD</v>
      </c>
      <c r="G1004" s="18" t="s">
        <v>19</v>
      </c>
      <c r="H1004" s="4" t="str">
        <f t="shared" si="3"/>
        <v>1000/kg</v>
      </c>
      <c r="I1004" s="18">
        <v>1000.0</v>
      </c>
      <c r="J1004" s="19" t="s">
        <v>1910</v>
      </c>
      <c r="K1004" s="16">
        <v>250.0</v>
      </c>
      <c r="L1004" s="16"/>
    </row>
    <row r="1005" ht="15.75" customHeight="1">
      <c r="A1005" s="17" t="s">
        <v>16</v>
      </c>
      <c r="C1005" s="4" t="s">
        <v>2012</v>
      </c>
      <c r="D1005" s="4" t="s">
        <v>2013</v>
      </c>
      <c r="E1005" s="4"/>
      <c r="F1005" s="18" t="str">
        <f t="shared" si="36"/>
        <v>FOOD</v>
      </c>
      <c r="G1005" s="18" t="s">
        <v>19</v>
      </c>
      <c r="H1005" s="4" t="str">
        <f t="shared" si="3"/>
        <v>1000/KG</v>
      </c>
      <c r="I1005" s="4">
        <v>1000.0</v>
      </c>
      <c r="J1005" s="3" t="s">
        <v>35</v>
      </c>
      <c r="K1005" s="16">
        <v>250.0</v>
      </c>
      <c r="L1005" s="16"/>
    </row>
    <row r="1006" ht="15.75" customHeight="1">
      <c r="A1006" s="17" t="s">
        <v>16</v>
      </c>
      <c r="C1006" s="4" t="s">
        <v>2014</v>
      </c>
      <c r="D1006" s="4" t="s">
        <v>2015</v>
      </c>
      <c r="E1006" s="4"/>
      <c r="F1006" s="18" t="str">
        <f t="shared" si="36"/>
        <v>FOOD</v>
      </c>
      <c r="G1006" s="18" t="s">
        <v>19</v>
      </c>
      <c r="H1006" s="4" t="str">
        <f t="shared" si="3"/>
        <v>1000/KG</v>
      </c>
      <c r="I1006" s="28">
        <v>1000.0</v>
      </c>
      <c r="J1006" s="29" t="s">
        <v>35</v>
      </c>
      <c r="K1006" s="27">
        <v>900.0</v>
      </c>
      <c r="L1006" s="16"/>
    </row>
    <row r="1007" ht="15.75" customHeight="1">
      <c r="A1007" s="17" t="s">
        <v>16</v>
      </c>
      <c r="C1007" s="4" t="s">
        <v>2016</v>
      </c>
      <c r="D1007" s="44" t="s">
        <v>2017</v>
      </c>
      <c r="E1007" s="44"/>
      <c r="F1007" s="18" t="str">
        <f t="shared" si="36"/>
        <v>FOOD</v>
      </c>
      <c r="G1007" s="18" t="s">
        <v>19</v>
      </c>
      <c r="H1007" s="4" t="str">
        <f t="shared" si="3"/>
        <v>1000/kg</v>
      </c>
      <c r="I1007" s="4">
        <v>1000.0</v>
      </c>
      <c r="J1007" s="3" t="s">
        <v>1910</v>
      </c>
      <c r="K1007" s="16">
        <v>200.0</v>
      </c>
      <c r="L1007" s="16"/>
    </row>
    <row r="1008" ht="15.75" customHeight="1">
      <c r="A1008" s="17" t="s">
        <v>16</v>
      </c>
      <c r="C1008" s="4" t="s">
        <v>2018</v>
      </c>
      <c r="D1008" s="4" t="s">
        <v>2019</v>
      </c>
      <c r="E1008" s="4"/>
      <c r="F1008" s="18" t="str">
        <f t="shared" si="36"/>
        <v>FOOD</v>
      </c>
      <c r="G1008" s="18" t="s">
        <v>19</v>
      </c>
      <c r="H1008" s="4" t="str">
        <f t="shared" si="3"/>
        <v>1000/kg</v>
      </c>
      <c r="I1008" s="4">
        <v>1000.0</v>
      </c>
      <c r="J1008" s="3" t="s">
        <v>1910</v>
      </c>
      <c r="K1008" s="16">
        <v>180.0</v>
      </c>
      <c r="L1008" s="16"/>
    </row>
    <row r="1009" ht="15.75" customHeight="1">
      <c r="A1009" s="17" t="s">
        <v>16</v>
      </c>
      <c r="C1009" s="4" t="s">
        <v>2020</v>
      </c>
      <c r="D1009" s="4" t="s">
        <v>2021</v>
      </c>
      <c r="E1009" s="4"/>
      <c r="F1009" s="18" t="str">
        <f t="shared" si="36"/>
        <v>FOOD</v>
      </c>
      <c r="G1009" s="18" t="s">
        <v>19</v>
      </c>
      <c r="H1009" s="4" t="str">
        <f t="shared" si="3"/>
        <v>1000/kg</v>
      </c>
      <c r="I1009" s="4">
        <v>1000.0</v>
      </c>
      <c r="J1009" s="3" t="s">
        <v>1910</v>
      </c>
      <c r="K1009" s="16">
        <v>50.0</v>
      </c>
      <c r="L1009" s="16"/>
    </row>
    <row r="1010" ht="15.75" customHeight="1">
      <c r="A1010" s="17" t="s">
        <v>16</v>
      </c>
      <c r="C1010" s="4" t="s">
        <v>2022</v>
      </c>
      <c r="D1010" s="4" t="s">
        <v>2023</v>
      </c>
      <c r="E1010" s="4"/>
      <c r="F1010" s="18" t="str">
        <f t="shared" si="36"/>
        <v>FOOD</v>
      </c>
      <c r="G1010" s="18" t="s">
        <v>19</v>
      </c>
      <c r="H1010" s="4" t="str">
        <f t="shared" si="3"/>
        <v>1000/kg</v>
      </c>
      <c r="I1010" s="4">
        <v>1000.0</v>
      </c>
      <c r="J1010" s="3" t="s">
        <v>1910</v>
      </c>
      <c r="K1010" s="16">
        <v>400.0</v>
      </c>
      <c r="L1010" s="16"/>
    </row>
    <row r="1011" ht="15.75" customHeight="1">
      <c r="A1011" s="17" t="s">
        <v>16</v>
      </c>
      <c r="C1011" s="4" t="s">
        <v>2024</v>
      </c>
      <c r="D1011" s="4" t="s">
        <v>2025</v>
      </c>
      <c r="E1011" s="4"/>
      <c r="F1011" s="18" t="str">
        <f t="shared" si="36"/>
        <v>FOOD</v>
      </c>
      <c r="G1011" s="18" t="s">
        <v>19</v>
      </c>
      <c r="H1011" s="4" t="str">
        <f t="shared" si="3"/>
        <v>1000/KG</v>
      </c>
      <c r="I1011" s="4">
        <v>1000.0</v>
      </c>
      <c r="J1011" s="3" t="s">
        <v>35</v>
      </c>
      <c r="K1011" s="16">
        <v>1440.0</v>
      </c>
      <c r="L1011" s="16"/>
    </row>
    <row r="1012" ht="15.75" customHeight="1">
      <c r="A1012" s="17" t="s">
        <v>16</v>
      </c>
      <c r="C1012" s="4" t="s">
        <v>2026</v>
      </c>
      <c r="D1012" s="4" t="s">
        <v>2027</v>
      </c>
      <c r="E1012" s="4"/>
      <c r="F1012" s="18" t="str">
        <f t="shared" si="36"/>
        <v>FOOD</v>
      </c>
      <c r="G1012" s="18" t="s">
        <v>19</v>
      </c>
      <c r="H1012" s="4" t="str">
        <f t="shared" si="3"/>
        <v>1000/kg</v>
      </c>
      <c r="I1012" s="4">
        <v>1000.0</v>
      </c>
      <c r="J1012" s="3" t="s">
        <v>1910</v>
      </c>
      <c r="K1012" s="16">
        <v>270.0</v>
      </c>
      <c r="L1012" s="16"/>
    </row>
    <row r="1013" ht="15.75" customHeight="1">
      <c r="A1013" s="17" t="s">
        <v>16</v>
      </c>
      <c r="C1013" s="4" t="s">
        <v>2028</v>
      </c>
      <c r="D1013" s="4" t="s">
        <v>2029</v>
      </c>
      <c r="E1013" s="4"/>
      <c r="F1013" s="18" t="str">
        <f t="shared" si="36"/>
        <v>FOOD</v>
      </c>
      <c r="G1013" s="18" t="s">
        <v>19</v>
      </c>
      <c r="H1013" s="4" t="str">
        <f t="shared" si="3"/>
        <v>1000/kg</v>
      </c>
      <c r="I1013" s="4">
        <v>1000.0</v>
      </c>
      <c r="J1013" s="3" t="s">
        <v>1910</v>
      </c>
      <c r="K1013" s="16">
        <v>60.0</v>
      </c>
      <c r="L1013" s="16"/>
    </row>
    <row r="1014" ht="15.75" customHeight="1">
      <c r="A1014" s="17" t="s">
        <v>16</v>
      </c>
      <c r="C1014" s="4" t="s">
        <v>2030</v>
      </c>
      <c r="D1014" s="18" t="s">
        <v>2031</v>
      </c>
      <c r="E1014" s="18"/>
      <c r="F1014" s="18" t="str">
        <f t="shared" si="36"/>
        <v>FOOD</v>
      </c>
      <c r="G1014" s="18" t="s">
        <v>19</v>
      </c>
      <c r="H1014" s="4" t="str">
        <f t="shared" si="3"/>
        <v>1000/kg</v>
      </c>
      <c r="I1014" s="4">
        <v>1000.0</v>
      </c>
      <c r="J1014" s="3" t="s">
        <v>1910</v>
      </c>
      <c r="K1014" s="16">
        <v>120.0</v>
      </c>
      <c r="L1014" s="16"/>
    </row>
    <row r="1015" ht="15.75" customHeight="1">
      <c r="A1015" s="17" t="s">
        <v>16</v>
      </c>
      <c r="C1015" s="4" t="s">
        <v>2032</v>
      </c>
      <c r="D1015" s="18" t="s">
        <v>2033</v>
      </c>
      <c r="E1015" s="18"/>
      <c r="F1015" s="18" t="str">
        <f t="shared" si="36"/>
        <v>FOOD</v>
      </c>
      <c r="G1015" s="18" t="s">
        <v>19</v>
      </c>
      <c r="H1015" s="4" t="str">
        <f t="shared" si="3"/>
        <v>1000/KG</v>
      </c>
      <c r="I1015" s="4">
        <v>1000.0</v>
      </c>
      <c r="J1015" s="3" t="s">
        <v>35</v>
      </c>
      <c r="K1015" s="16">
        <v>94.74</v>
      </c>
      <c r="L1015" s="16"/>
    </row>
    <row r="1016" ht="15.75" customHeight="1">
      <c r="A1016" s="17" t="s">
        <v>16</v>
      </c>
      <c r="C1016" s="4" t="s">
        <v>2034</v>
      </c>
      <c r="D1016" s="18" t="s">
        <v>2035</v>
      </c>
      <c r="E1016" s="18"/>
      <c r="F1016" s="18" t="str">
        <f t="shared" si="36"/>
        <v>FOOD</v>
      </c>
      <c r="G1016" s="18" t="s">
        <v>19</v>
      </c>
      <c r="H1016" s="4" t="str">
        <f t="shared" si="3"/>
        <v>1000/KG</v>
      </c>
      <c r="I1016" s="4">
        <v>1000.0</v>
      </c>
      <c r="J1016" s="3" t="s">
        <v>35</v>
      </c>
      <c r="K1016" s="16">
        <v>160.0</v>
      </c>
      <c r="L1016" s="16"/>
    </row>
    <row r="1017" ht="15.75" customHeight="1">
      <c r="C1017" s="4"/>
      <c r="D1017" s="18"/>
      <c r="E1017" s="18"/>
      <c r="F1017" s="18"/>
      <c r="G1017" s="18"/>
      <c r="H1017" s="4" t="str">
        <f t="shared" si="3"/>
        <v>/</v>
      </c>
      <c r="I1017" s="4"/>
      <c r="J1017" s="3"/>
      <c r="K1017" s="16"/>
      <c r="L1017" s="16"/>
    </row>
    <row r="1018" ht="15.75" customHeight="1">
      <c r="A1018" s="45" t="s">
        <v>2036</v>
      </c>
      <c r="C1018" s="4"/>
      <c r="F1018" s="18"/>
      <c r="G1018" s="18"/>
      <c r="H1018" s="4" t="str">
        <f t="shared" si="3"/>
        <v>/</v>
      </c>
      <c r="I1018" s="4"/>
      <c r="J1018" s="3"/>
      <c r="K1018" s="16"/>
      <c r="L1018" s="16"/>
    </row>
    <row r="1019" ht="15.75" customHeight="1">
      <c r="A1019" s="17" t="s">
        <v>2037</v>
      </c>
      <c r="C1019" s="4" t="s">
        <v>2038</v>
      </c>
      <c r="D1019" s="18" t="s">
        <v>2039</v>
      </c>
      <c r="E1019" s="18"/>
      <c r="F1019" s="18" t="str">
        <f t="shared" ref="F1019:F1037" si="37">G1019</f>
        <v>FOOD</v>
      </c>
      <c r="G1019" s="18" t="s">
        <v>19</v>
      </c>
      <c r="H1019" s="4" t="str">
        <f t="shared" si="3"/>
        <v>500/BOTTLE</v>
      </c>
      <c r="I1019" s="4">
        <v>500.0</v>
      </c>
      <c r="J1019" s="3" t="s">
        <v>511</v>
      </c>
      <c r="K1019" s="16">
        <v>492.5</v>
      </c>
      <c r="L1019" s="16"/>
    </row>
    <row r="1020" ht="15.75" customHeight="1">
      <c r="A1020" s="17" t="s">
        <v>2037</v>
      </c>
      <c r="C1020" s="4" t="s">
        <v>2040</v>
      </c>
      <c r="D1020" s="18" t="s">
        <v>2041</v>
      </c>
      <c r="E1020" s="18"/>
      <c r="F1020" s="18" t="str">
        <f t="shared" si="37"/>
        <v>FOOD</v>
      </c>
      <c r="G1020" s="18" t="s">
        <v>19</v>
      </c>
      <c r="H1020" s="4" t="str">
        <f t="shared" si="3"/>
        <v>220/BOTTLE</v>
      </c>
      <c r="I1020" s="4">
        <v>220.0</v>
      </c>
      <c r="J1020" s="3" t="s">
        <v>511</v>
      </c>
      <c r="K1020" s="16">
        <v>100.0</v>
      </c>
      <c r="L1020" s="16"/>
    </row>
    <row r="1021" ht="15.75" customHeight="1">
      <c r="A1021" s="17" t="s">
        <v>2037</v>
      </c>
      <c r="C1021" s="4" t="s">
        <v>2042</v>
      </c>
      <c r="D1021" s="18" t="s">
        <v>2043</v>
      </c>
      <c r="E1021" s="18"/>
      <c r="F1021" s="18" t="str">
        <f t="shared" si="37"/>
        <v>FOOD</v>
      </c>
      <c r="G1021" s="18" t="s">
        <v>19</v>
      </c>
      <c r="H1021" s="4" t="str">
        <f t="shared" si="3"/>
        <v>500/BOTTLE</v>
      </c>
      <c r="I1021" s="4">
        <v>500.0</v>
      </c>
      <c r="J1021" s="3" t="s">
        <v>511</v>
      </c>
      <c r="K1021" s="16">
        <v>163.8</v>
      </c>
      <c r="L1021" s="16"/>
    </row>
    <row r="1022" ht="15.75" customHeight="1">
      <c r="A1022" s="17" t="s">
        <v>2037</v>
      </c>
      <c r="C1022" s="4" t="s">
        <v>2044</v>
      </c>
      <c r="D1022" s="18" t="s">
        <v>2045</v>
      </c>
      <c r="E1022" s="18"/>
      <c r="F1022" s="18" t="str">
        <f t="shared" si="37"/>
        <v>FOOD</v>
      </c>
      <c r="G1022" s="18" t="s">
        <v>19</v>
      </c>
      <c r="H1022" s="4" t="str">
        <f t="shared" si="3"/>
        <v>500/BOTTLE</v>
      </c>
      <c r="I1022" s="4">
        <v>500.0</v>
      </c>
      <c r="J1022" s="3" t="s">
        <v>511</v>
      </c>
      <c r="K1022" s="16">
        <v>92.5</v>
      </c>
      <c r="L1022" s="16"/>
    </row>
    <row r="1023" ht="15.75" customHeight="1">
      <c r="A1023" s="17" t="s">
        <v>2037</v>
      </c>
      <c r="C1023" s="4" t="s">
        <v>2046</v>
      </c>
      <c r="D1023" s="18" t="s">
        <v>2047</v>
      </c>
      <c r="E1023" s="18"/>
      <c r="F1023" s="18" t="str">
        <f t="shared" si="37"/>
        <v>FOOD</v>
      </c>
      <c r="G1023" s="18" t="s">
        <v>19</v>
      </c>
      <c r="H1023" s="4" t="str">
        <f t="shared" si="3"/>
        <v>500/BOTTLE</v>
      </c>
      <c r="I1023" s="4">
        <v>500.0</v>
      </c>
      <c r="J1023" s="3" t="s">
        <v>511</v>
      </c>
      <c r="K1023" s="16">
        <v>490.0</v>
      </c>
      <c r="L1023" s="16"/>
    </row>
    <row r="1024" ht="15.75" customHeight="1">
      <c r="A1024" s="17" t="s">
        <v>2037</v>
      </c>
      <c r="C1024" s="4" t="s">
        <v>2048</v>
      </c>
      <c r="D1024" s="18" t="s">
        <v>2049</v>
      </c>
      <c r="E1024" s="18"/>
      <c r="F1024" s="18" t="str">
        <f t="shared" si="37"/>
        <v>FOOD</v>
      </c>
      <c r="G1024" s="18" t="s">
        <v>19</v>
      </c>
      <c r="H1024" s="4" t="str">
        <f t="shared" si="3"/>
        <v>30/BOTTLE</v>
      </c>
      <c r="I1024" s="4">
        <v>30.0</v>
      </c>
      <c r="J1024" s="3" t="s">
        <v>511</v>
      </c>
      <c r="K1024" s="16">
        <v>126.3</v>
      </c>
      <c r="L1024" s="16"/>
    </row>
    <row r="1025" ht="15.75" customHeight="1">
      <c r="A1025" s="17" t="s">
        <v>2037</v>
      </c>
      <c r="C1025" s="4" t="s">
        <v>2050</v>
      </c>
      <c r="D1025" s="4" t="s">
        <v>2051</v>
      </c>
      <c r="E1025" s="4"/>
      <c r="F1025" s="18" t="str">
        <f t="shared" si="37"/>
        <v>FOOD</v>
      </c>
      <c r="G1025" s="18" t="s">
        <v>19</v>
      </c>
      <c r="H1025" s="4" t="str">
        <f t="shared" si="3"/>
        <v>500/BOTTLE</v>
      </c>
      <c r="I1025" s="4">
        <v>500.0</v>
      </c>
      <c r="J1025" s="3" t="s">
        <v>511</v>
      </c>
      <c r="K1025" s="16">
        <v>110.0</v>
      </c>
      <c r="L1025" s="16"/>
    </row>
    <row r="1026" ht="15.75" customHeight="1">
      <c r="A1026" s="17" t="s">
        <v>2037</v>
      </c>
      <c r="C1026" s="4" t="s">
        <v>2052</v>
      </c>
      <c r="D1026" s="18" t="s">
        <v>2053</v>
      </c>
      <c r="E1026" s="18"/>
      <c r="F1026" s="18" t="str">
        <f t="shared" si="37"/>
        <v>FOOD</v>
      </c>
      <c r="G1026" s="18" t="s">
        <v>19</v>
      </c>
      <c r="H1026" s="4" t="str">
        <f t="shared" si="3"/>
        <v>500/PACK</v>
      </c>
      <c r="I1026" s="4">
        <v>500.0</v>
      </c>
      <c r="J1026" s="3" t="s">
        <v>23</v>
      </c>
      <c r="K1026" s="16">
        <v>615.0</v>
      </c>
      <c r="L1026" s="16"/>
    </row>
    <row r="1027" ht="15.75" customHeight="1">
      <c r="A1027" s="17" t="s">
        <v>2037</v>
      </c>
      <c r="C1027" s="4" t="s">
        <v>2054</v>
      </c>
      <c r="D1027" s="18" t="s">
        <v>2055</v>
      </c>
      <c r="E1027" s="18"/>
      <c r="F1027" s="18" t="str">
        <f t="shared" si="37"/>
        <v>FOOD</v>
      </c>
      <c r="G1027" s="18" t="s">
        <v>19</v>
      </c>
      <c r="H1027" s="4" t="str">
        <f t="shared" si="3"/>
        <v>430/PACK</v>
      </c>
      <c r="I1027" s="18">
        <v>430.0</v>
      </c>
      <c r="J1027" s="19" t="s">
        <v>23</v>
      </c>
      <c r="K1027" s="16">
        <v>150.0</v>
      </c>
      <c r="L1027" s="16"/>
    </row>
    <row r="1028" ht="15.75" customHeight="1">
      <c r="A1028" s="17" t="s">
        <v>2037</v>
      </c>
      <c r="C1028" s="4" t="s">
        <v>2056</v>
      </c>
      <c r="D1028" s="18" t="s">
        <v>2057</v>
      </c>
      <c r="E1028" s="18"/>
      <c r="F1028" s="18" t="str">
        <f t="shared" si="37"/>
        <v>FOOD</v>
      </c>
      <c r="G1028" s="18" t="s">
        <v>19</v>
      </c>
      <c r="H1028" s="4" t="str">
        <f t="shared" si="3"/>
        <v>500/PACK</v>
      </c>
      <c r="I1028" s="4">
        <v>500.0</v>
      </c>
      <c r="J1028" s="3" t="s">
        <v>23</v>
      </c>
      <c r="K1028" s="16">
        <v>591.3</v>
      </c>
      <c r="L1028" s="16"/>
    </row>
    <row r="1029" ht="15.75" customHeight="1">
      <c r="A1029" s="17" t="s">
        <v>2037</v>
      </c>
      <c r="C1029" s="4" t="s">
        <v>2058</v>
      </c>
      <c r="D1029" s="18" t="s">
        <v>2059</v>
      </c>
      <c r="E1029" s="18"/>
      <c r="F1029" s="18" t="str">
        <f t="shared" si="37"/>
        <v>FOOD</v>
      </c>
      <c r="G1029" s="18" t="s">
        <v>19</v>
      </c>
      <c r="H1029" s="4" t="str">
        <f t="shared" si="3"/>
        <v>500/BOTTLE</v>
      </c>
      <c r="I1029" s="4">
        <v>500.0</v>
      </c>
      <c r="J1029" s="3" t="s">
        <v>511</v>
      </c>
      <c r="K1029" s="16">
        <v>371.3</v>
      </c>
      <c r="L1029" s="16"/>
    </row>
    <row r="1030" ht="15.75" customHeight="1">
      <c r="A1030" s="17" t="s">
        <v>2037</v>
      </c>
      <c r="C1030" s="4" t="s">
        <v>2060</v>
      </c>
      <c r="D1030" s="18" t="s">
        <v>2061</v>
      </c>
      <c r="E1030" s="18"/>
      <c r="F1030" s="18" t="str">
        <f t="shared" si="37"/>
        <v>FOOD</v>
      </c>
      <c r="G1030" s="18" t="s">
        <v>19</v>
      </c>
      <c r="H1030" s="4" t="str">
        <f t="shared" si="3"/>
        <v>500/PACK</v>
      </c>
      <c r="I1030" s="4">
        <v>500.0</v>
      </c>
      <c r="J1030" s="3" t="s">
        <v>23</v>
      </c>
      <c r="K1030" s="16">
        <v>210.0</v>
      </c>
      <c r="L1030" s="16"/>
    </row>
    <row r="1031" ht="15.75" customHeight="1">
      <c r="A1031" s="17" t="s">
        <v>2037</v>
      </c>
      <c r="C1031" s="4" t="s">
        <v>2062</v>
      </c>
      <c r="D1031" s="18" t="s">
        <v>2063</v>
      </c>
      <c r="E1031" s="18"/>
      <c r="F1031" s="18" t="str">
        <f t="shared" si="37"/>
        <v>FOOD</v>
      </c>
      <c r="G1031" s="18" t="s">
        <v>19</v>
      </c>
      <c r="H1031" s="4" t="str">
        <f t="shared" si="3"/>
        <v>500/PACK</v>
      </c>
      <c r="I1031" s="18">
        <v>500.0</v>
      </c>
      <c r="J1031" s="19" t="s">
        <v>23</v>
      </c>
      <c r="K1031" s="16">
        <v>172.5</v>
      </c>
      <c r="L1031" s="16"/>
    </row>
    <row r="1032" ht="15.75" customHeight="1">
      <c r="A1032" s="17" t="s">
        <v>2037</v>
      </c>
      <c r="C1032" s="4" t="s">
        <v>2064</v>
      </c>
      <c r="D1032" s="18" t="s">
        <v>2065</v>
      </c>
      <c r="E1032" s="18"/>
      <c r="F1032" s="18" t="str">
        <f t="shared" si="37"/>
        <v>FOOD</v>
      </c>
      <c r="G1032" s="18" t="s">
        <v>19</v>
      </c>
      <c r="H1032" s="4" t="str">
        <f t="shared" si="3"/>
        <v>500/PACK</v>
      </c>
      <c r="I1032" s="4">
        <v>500.0</v>
      </c>
      <c r="J1032" s="3" t="s">
        <v>23</v>
      </c>
      <c r="K1032" s="16">
        <v>270.0</v>
      </c>
      <c r="L1032" s="16"/>
    </row>
    <row r="1033" ht="15.75" customHeight="1">
      <c r="A1033" s="17" t="s">
        <v>2037</v>
      </c>
      <c r="C1033" s="4" t="s">
        <v>2066</v>
      </c>
      <c r="D1033" s="18" t="s">
        <v>2067</v>
      </c>
      <c r="E1033" s="18"/>
      <c r="F1033" s="18" t="str">
        <f t="shared" si="37"/>
        <v>FOOD</v>
      </c>
      <c r="G1033" s="18" t="s">
        <v>19</v>
      </c>
      <c r="H1033" s="4" t="str">
        <f t="shared" si="3"/>
        <v>500/BOTTLE</v>
      </c>
      <c r="I1033" s="4">
        <v>500.0</v>
      </c>
      <c r="J1033" s="3" t="s">
        <v>511</v>
      </c>
      <c r="K1033" s="16">
        <v>125.0</v>
      </c>
      <c r="L1033" s="16"/>
    </row>
    <row r="1034" ht="15.75" customHeight="1">
      <c r="A1034" s="17" t="s">
        <v>2037</v>
      </c>
      <c r="C1034" s="4" t="s">
        <v>2068</v>
      </c>
      <c r="D1034" s="18" t="s">
        <v>2069</v>
      </c>
      <c r="E1034" s="18"/>
      <c r="F1034" s="18" t="str">
        <f t="shared" si="37"/>
        <v>FOOD</v>
      </c>
      <c r="G1034" s="18" t="s">
        <v>19</v>
      </c>
      <c r="H1034" s="4" t="str">
        <f t="shared" si="3"/>
        <v>500/BOTTLE</v>
      </c>
      <c r="I1034" s="4">
        <v>500.0</v>
      </c>
      <c r="J1034" s="3" t="s">
        <v>511</v>
      </c>
      <c r="K1034" s="16">
        <v>121.3</v>
      </c>
      <c r="L1034" s="16"/>
    </row>
    <row r="1035" ht="15.75" customHeight="1">
      <c r="A1035" s="17" t="s">
        <v>2037</v>
      </c>
      <c r="C1035" s="4" t="s">
        <v>2070</v>
      </c>
      <c r="D1035" s="18" t="s">
        <v>2071</v>
      </c>
      <c r="E1035" s="18"/>
      <c r="F1035" s="18" t="str">
        <f t="shared" si="37"/>
        <v>FOOD</v>
      </c>
      <c r="G1035" s="18" t="s">
        <v>19</v>
      </c>
      <c r="H1035" s="4" t="str">
        <f t="shared" si="3"/>
        <v>220/BOTTLE</v>
      </c>
      <c r="I1035" s="4">
        <v>220.0</v>
      </c>
      <c r="J1035" s="3" t="s">
        <v>511</v>
      </c>
      <c r="K1035" s="16">
        <v>40.0</v>
      </c>
      <c r="L1035" s="16"/>
    </row>
    <row r="1036" ht="15.75" customHeight="1">
      <c r="A1036" s="17" t="s">
        <v>2037</v>
      </c>
      <c r="C1036" s="4" t="s">
        <v>2072</v>
      </c>
      <c r="D1036" s="18" t="s">
        <v>2073</v>
      </c>
      <c r="E1036" s="18"/>
      <c r="F1036" s="18" t="str">
        <f t="shared" si="37"/>
        <v>FOOD</v>
      </c>
      <c r="G1036" s="18" t="s">
        <v>19</v>
      </c>
      <c r="H1036" s="4" t="str">
        <f t="shared" si="3"/>
        <v>220/BOTTLE</v>
      </c>
      <c r="I1036" s="4">
        <v>220.0</v>
      </c>
      <c r="J1036" s="3" t="s">
        <v>511</v>
      </c>
      <c r="K1036" s="16">
        <v>156.3</v>
      </c>
      <c r="L1036" s="16"/>
    </row>
    <row r="1037" ht="15.75" customHeight="1">
      <c r="A1037" s="17" t="s">
        <v>2037</v>
      </c>
      <c r="C1037" s="4" t="s">
        <v>2074</v>
      </c>
      <c r="D1037" s="18" t="s">
        <v>2075</v>
      </c>
      <c r="E1037" s="18"/>
      <c r="F1037" s="18" t="str">
        <f t="shared" si="37"/>
        <v>FOOD</v>
      </c>
      <c r="G1037" s="18" t="s">
        <v>19</v>
      </c>
      <c r="H1037" s="4" t="str">
        <f t="shared" si="3"/>
        <v>500/BOTTLE</v>
      </c>
      <c r="I1037" s="4">
        <v>500.0</v>
      </c>
      <c r="J1037" s="3" t="s">
        <v>511</v>
      </c>
      <c r="K1037" s="16">
        <v>66.3</v>
      </c>
      <c r="L1037" s="16"/>
    </row>
    <row r="1038" ht="15.75" customHeight="1">
      <c r="C1038" s="4"/>
      <c r="D1038" s="45"/>
      <c r="E1038" s="45"/>
      <c r="F1038" s="18"/>
      <c r="G1038" s="18"/>
      <c r="H1038" s="4" t="str">
        <f t="shared" si="3"/>
        <v>/</v>
      </c>
      <c r="I1038" s="4"/>
      <c r="J1038" s="3"/>
      <c r="K1038" s="16"/>
      <c r="L1038" s="16"/>
    </row>
    <row r="1039" ht="15.75" customHeight="1">
      <c r="A1039" s="45" t="s">
        <v>2076</v>
      </c>
      <c r="C1039" s="4"/>
      <c r="F1039" s="18"/>
      <c r="G1039" s="18"/>
      <c r="H1039" s="4" t="str">
        <f t="shared" si="3"/>
        <v>/</v>
      </c>
      <c r="I1039" s="4"/>
      <c r="J1039" s="3"/>
      <c r="K1039" s="16"/>
      <c r="L1039" s="16"/>
    </row>
    <row r="1040" ht="15.75" customHeight="1">
      <c r="A1040" s="17" t="s">
        <v>16</v>
      </c>
      <c r="C1040" s="4" t="s">
        <v>2077</v>
      </c>
      <c r="D1040" s="18" t="s">
        <v>2078</v>
      </c>
      <c r="E1040" s="18"/>
      <c r="F1040" s="18" t="str">
        <f t="shared" ref="F1040:F1127" si="38">G1040</f>
        <v>BEVERAGE</v>
      </c>
      <c r="G1040" s="18" t="s">
        <v>54</v>
      </c>
      <c r="H1040" s="4" t="str">
        <f t="shared" si="3"/>
        <v>750/Bottle</v>
      </c>
      <c r="I1040" s="4">
        <v>750.0</v>
      </c>
      <c r="J1040" s="3" t="s">
        <v>2079</v>
      </c>
      <c r="K1040" s="16">
        <v>761.25</v>
      </c>
      <c r="L1040" s="16"/>
    </row>
    <row r="1041" ht="15.75" customHeight="1">
      <c r="A1041" s="17" t="s">
        <v>16</v>
      </c>
      <c r="C1041" s="4" t="s">
        <v>2080</v>
      </c>
      <c r="D1041" s="4" t="s">
        <v>2081</v>
      </c>
      <c r="E1041" s="4"/>
      <c r="F1041" s="18" t="str">
        <f t="shared" si="38"/>
        <v>BEVERAGE</v>
      </c>
      <c r="G1041" s="18" t="s">
        <v>54</v>
      </c>
      <c r="H1041" s="4" t="str">
        <f t="shared" si="3"/>
        <v>20/Case</v>
      </c>
      <c r="I1041" s="4">
        <v>20.0</v>
      </c>
      <c r="J1041" s="3" t="s">
        <v>2082</v>
      </c>
      <c r="K1041" s="16">
        <v>1541.0526315789475</v>
      </c>
      <c r="L1041" s="16"/>
    </row>
    <row r="1042" ht="15.75" customHeight="1">
      <c r="A1042" s="17" t="s">
        <v>16</v>
      </c>
      <c r="C1042" s="4" t="s">
        <v>2083</v>
      </c>
      <c r="D1042" s="4" t="s">
        <v>2084</v>
      </c>
      <c r="E1042" s="4"/>
      <c r="F1042" s="18" t="str">
        <f t="shared" si="38"/>
        <v>BEVERAGE</v>
      </c>
      <c r="G1042" s="18" t="s">
        <v>54</v>
      </c>
      <c r="H1042" s="4" t="str">
        <f t="shared" si="3"/>
        <v>330/CAN</v>
      </c>
      <c r="I1042" s="4">
        <v>330.0</v>
      </c>
      <c r="J1042" s="3" t="s">
        <v>30</v>
      </c>
      <c r="K1042" s="16">
        <v>28.72</v>
      </c>
      <c r="L1042" s="16"/>
    </row>
    <row r="1043" ht="15.75" customHeight="1">
      <c r="A1043" s="17" t="s">
        <v>16</v>
      </c>
      <c r="C1043" s="4" t="s">
        <v>2085</v>
      </c>
      <c r="D1043" s="4" t="s">
        <v>2086</v>
      </c>
      <c r="E1043" s="4"/>
      <c r="F1043" s="18" t="str">
        <f t="shared" si="38"/>
        <v>BEVERAGE</v>
      </c>
      <c r="G1043" s="18" t="s">
        <v>54</v>
      </c>
      <c r="H1043" s="4" t="str">
        <f t="shared" si="3"/>
        <v>750/Bottle</v>
      </c>
      <c r="I1043" s="4">
        <v>750.0</v>
      </c>
      <c r="J1043" s="3" t="s">
        <v>2079</v>
      </c>
      <c r="K1043" s="16">
        <v>321.4285714285714</v>
      </c>
      <c r="L1043" s="16"/>
    </row>
    <row r="1044" ht="15.75" customHeight="1">
      <c r="A1044" s="17" t="s">
        <v>16</v>
      </c>
      <c r="C1044" s="4" t="s">
        <v>2087</v>
      </c>
      <c r="D1044" s="4" t="s">
        <v>2088</v>
      </c>
      <c r="E1044" s="4"/>
      <c r="F1044" s="18" t="str">
        <f t="shared" si="38"/>
        <v>BEVERAGE</v>
      </c>
      <c r="G1044" s="18" t="s">
        <v>54</v>
      </c>
      <c r="H1044" s="4" t="str">
        <f t="shared" si="3"/>
        <v>750/Bottle</v>
      </c>
      <c r="I1044" s="4">
        <v>750.0</v>
      </c>
      <c r="J1044" s="3" t="s">
        <v>2079</v>
      </c>
      <c r="K1044" s="16">
        <v>357.1428571428571</v>
      </c>
      <c r="L1044" s="16"/>
    </row>
    <row r="1045" ht="15.75" customHeight="1">
      <c r="A1045" s="17" t="s">
        <v>16</v>
      </c>
      <c r="C1045" s="4" t="s">
        <v>2089</v>
      </c>
      <c r="D1045" s="4" t="s">
        <v>2090</v>
      </c>
      <c r="E1045" s="4"/>
      <c r="F1045" s="18" t="str">
        <f t="shared" si="38"/>
        <v>BEVERAGE</v>
      </c>
      <c r="G1045" s="18" t="s">
        <v>54</v>
      </c>
      <c r="H1045" s="4" t="str">
        <f t="shared" si="3"/>
        <v>750/Bottle</v>
      </c>
      <c r="I1045" s="4">
        <v>750.0</v>
      </c>
      <c r="J1045" s="3" t="s">
        <v>2079</v>
      </c>
      <c r="K1045" s="16">
        <v>321.4285714285714</v>
      </c>
      <c r="L1045" s="16"/>
    </row>
    <row r="1046" ht="15.75" customHeight="1">
      <c r="A1046" s="17" t="s">
        <v>16</v>
      </c>
      <c r="C1046" s="4" t="s">
        <v>2091</v>
      </c>
      <c r="D1046" s="4" t="s">
        <v>2092</v>
      </c>
      <c r="E1046" s="4"/>
      <c r="F1046" s="18" t="str">
        <f t="shared" si="38"/>
        <v>BEVERAGE</v>
      </c>
      <c r="G1046" s="18" t="s">
        <v>54</v>
      </c>
      <c r="H1046" s="4" t="str">
        <f t="shared" si="3"/>
        <v>1000/Bottle</v>
      </c>
      <c r="I1046" s="4">
        <v>1000.0</v>
      </c>
      <c r="J1046" s="3" t="s">
        <v>2079</v>
      </c>
      <c r="K1046" s="16">
        <v>178.57</v>
      </c>
      <c r="L1046" s="16"/>
    </row>
    <row r="1047" ht="15.75" customHeight="1">
      <c r="A1047" s="17" t="s">
        <v>16</v>
      </c>
      <c r="C1047" s="4" t="s">
        <v>2093</v>
      </c>
      <c r="D1047" s="4" t="s">
        <v>2094</v>
      </c>
      <c r="E1047" s="4"/>
      <c r="F1047" s="18" t="str">
        <f t="shared" si="38"/>
        <v>BEVERAGE</v>
      </c>
      <c r="G1047" s="18" t="s">
        <v>54</v>
      </c>
      <c r="H1047" s="4" t="str">
        <f t="shared" si="3"/>
        <v>3785/GAL</v>
      </c>
      <c r="I1047" s="4">
        <v>3785.0</v>
      </c>
      <c r="J1047" s="3" t="s">
        <v>2095</v>
      </c>
      <c r="K1047" s="16">
        <v>874.5979166666666</v>
      </c>
      <c r="L1047" s="16"/>
    </row>
    <row r="1048" ht="15.75" customHeight="1">
      <c r="A1048" s="17" t="s">
        <v>16</v>
      </c>
      <c r="C1048" s="4" t="s">
        <v>2096</v>
      </c>
      <c r="D1048" s="4" t="s">
        <v>2097</v>
      </c>
      <c r="E1048" s="4"/>
      <c r="F1048" s="18" t="str">
        <f t="shared" si="38"/>
        <v>BEVERAGE</v>
      </c>
      <c r="G1048" s="18" t="s">
        <v>54</v>
      </c>
      <c r="H1048" s="4" t="str">
        <f t="shared" si="3"/>
        <v>1890/Bottle</v>
      </c>
      <c r="I1048" s="4">
        <v>1890.0</v>
      </c>
      <c r="J1048" s="3" t="s">
        <v>2079</v>
      </c>
      <c r="K1048" s="16">
        <v>327.88</v>
      </c>
      <c r="L1048" s="16"/>
    </row>
    <row r="1049" ht="15.75" customHeight="1">
      <c r="A1049" s="17" t="s">
        <v>16</v>
      </c>
      <c r="C1049" s="4" t="s">
        <v>2098</v>
      </c>
      <c r="D1049" s="4" t="s">
        <v>2099</v>
      </c>
      <c r="E1049" s="4"/>
      <c r="F1049" s="18" t="str">
        <f t="shared" si="38"/>
        <v>BEVERAGE</v>
      </c>
      <c r="G1049" s="18" t="s">
        <v>54</v>
      </c>
      <c r="H1049" s="4" t="str">
        <f t="shared" si="3"/>
        <v>10/box</v>
      </c>
      <c r="I1049" s="4">
        <v>10.0</v>
      </c>
      <c r="J1049" s="3" t="s">
        <v>1907</v>
      </c>
      <c r="K1049" s="16">
        <v>121.52</v>
      </c>
      <c r="L1049" s="16"/>
    </row>
    <row r="1050" ht="15.75" customHeight="1">
      <c r="A1050" s="17" t="s">
        <v>16</v>
      </c>
      <c r="C1050" s="4" t="s">
        <v>2100</v>
      </c>
      <c r="D1050" s="4" t="s">
        <v>2101</v>
      </c>
      <c r="E1050" s="4"/>
      <c r="F1050" s="18" t="str">
        <f t="shared" si="38"/>
        <v>BEVERAGE</v>
      </c>
      <c r="G1050" s="18" t="s">
        <v>54</v>
      </c>
      <c r="H1050" s="4" t="str">
        <f t="shared" si="3"/>
        <v>10/box</v>
      </c>
      <c r="I1050" s="4">
        <v>10.0</v>
      </c>
      <c r="J1050" s="3" t="s">
        <v>1907</v>
      </c>
      <c r="K1050" s="16">
        <v>288.39</v>
      </c>
      <c r="L1050" s="16"/>
    </row>
    <row r="1051" ht="15.75" customHeight="1">
      <c r="A1051" s="17" t="s">
        <v>16</v>
      </c>
      <c r="C1051" s="4" t="s">
        <v>2102</v>
      </c>
      <c r="D1051" s="4" t="s">
        <v>2103</v>
      </c>
      <c r="E1051" s="4"/>
      <c r="F1051" s="18" t="str">
        <f t="shared" si="38"/>
        <v>BEVERAGE</v>
      </c>
      <c r="G1051" s="18" t="s">
        <v>54</v>
      </c>
      <c r="H1051" s="4" t="str">
        <f t="shared" si="3"/>
        <v>10/box</v>
      </c>
      <c r="I1051" s="4">
        <v>10.0</v>
      </c>
      <c r="J1051" s="3" t="s">
        <v>1907</v>
      </c>
      <c r="K1051" s="16">
        <v>288.39</v>
      </c>
      <c r="L1051" s="16"/>
    </row>
    <row r="1052" ht="15.75" customHeight="1">
      <c r="A1052" s="17" t="s">
        <v>16</v>
      </c>
      <c r="C1052" s="4" t="s">
        <v>2104</v>
      </c>
      <c r="D1052" s="4" t="s">
        <v>2105</v>
      </c>
      <c r="E1052" s="4"/>
      <c r="F1052" s="18" t="str">
        <f t="shared" si="38"/>
        <v>BEVERAGE</v>
      </c>
      <c r="G1052" s="18" t="s">
        <v>54</v>
      </c>
      <c r="H1052" s="4" t="str">
        <f t="shared" si="3"/>
        <v>1900/Bottle</v>
      </c>
      <c r="I1052" s="4">
        <v>1900.0</v>
      </c>
      <c r="J1052" s="3" t="s">
        <v>2079</v>
      </c>
      <c r="K1052" s="16">
        <v>228.45</v>
      </c>
      <c r="L1052" s="16"/>
    </row>
    <row r="1053" ht="15.75" customHeight="1">
      <c r="A1053" s="17" t="s">
        <v>16</v>
      </c>
      <c r="C1053" s="4" t="s">
        <v>2106</v>
      </c>
      <c r="D1053" s="4" t="s">
        <v>2107</v>
      </c>
      <c r="E1053" s="4"/>
      <c r="F1053" s="18" t="str">
        <f t="shared" si="38"/>
        <v>BEVERAGE</v>
      </c>
      <c r="G1053" s="18" t="s">
        <v>54</v>
      </c>
      <c r="H1053" s="4" t="str">
        <f t="shared" si="3"/>
        <v>1/order</v>
      </c>
      <c r="I1053" s="4">
        <v>1.0</v>
      </c>
      <c r="J1053" s="3" t="s">
        <v>2108</v>
      </c>
      <c r="K1053" s="16">
        <v>28.56</v>
      </c>
      <c r="L1053" s="16"/>
    </row>
    <row r="1054" ht="15.75" customHeight="1">
      <c r="A1054" s="17" t="s">
        <v>16</v>
      </c>
      <c r="C1054" s="4" t="s">
        <v>2109</v>
      </c>
      <c r="D1054" s="4" t="s">
        <v>2110</v>
      </c>
      <c r="E1054" s="4"/>
      <c r="F1054" s="18" t="str">
        <f t="shared" si="38"/>
        <v>BEVERAGE</v>
      </c>
      <c r="G1054" s="18" t="s">
        <v>54</v>
      </c>
      <c r="H1054" s="4" t="str">
        <f t="shared" si="3"/>
        <v>1/order</v>
      </c>
      <c r="I1054" s="4">
        <v>1.0</v>
      </c>
      <c r="J1054" s="3" t="s">
        <v>2108</v>
      </c>
      <c r="K1054" s="16">
        <v>24.76</v>
      </c>
      <c r="L1054" s="16"/>
    </row>
    <row r="1055" ht="15.75" customHeight="1">
      <c r="A1055" s="17" t="s">
        <v>16</v>
      </c>
      <c r="C1055" s="4" t="s">
        <v>2111</v>
      </c>
      <c r="D1055" s="4" t="s">
        <v>2112</v>
      </c>
      <c r="E1055" s="4"/>
      <c r="F1055" s="18" t="str">
        <f t="shared" si="38"/>
        <v>BEVERAGE</v>
      </c>
      <c r="G1055" s="18" t="s">
        <v>54</v>
      </c>
      <c r="H1055" s="4" t="str">
        <f t="shared" si="3"/>
        <v>1/order</v>
      </c>
      <c r="I1055" s="4">
        <v>1.0</v>
      </c>
      <c r="J1055" s="3" t="s">
        <v>2108</v>
      </c>
      <c r="K1055" s="16">
        <v>37.41</v>
      </c>
      <c r="L1055" s="16"/>
    </row>
    <row r="1056" ht="15.75" customHeight="1">
      <c r="A1056" s="17" t="s">
        <v>16</v>
      </c>
      <c r="C1056" s="4" t="s">
        <v>2113</v>
      </c>
      <c r="D1056" s="4" t="s">
        <v>2114</v>
      </c>
      <c r="E1056" s="4"/>
      <c r="F1056" s="18" t="str">
        <f t="shared" si="38"/>
        <v>BEVERAGE</v>
      </c>
      <c r="G1056" s="18" t="s">
        <v>54</v>
      </c>
      <c r="H1056" s="4" t="str">
        <f t="shared" si="3"/>
        <v>50/BAG</v>
      </c>
      <c r="I1056" s="4">
        <v>50.0</v>
      </c>
      <c r="J1056" s="3" t="s">
        <v>2115</v>
      </c>
      <c r="K1056" s="16">
        <v>1688.53</v>
      </c>
      <c r="L1056" s="16"/>
    </row>
    <row r="1057" ht="15.75" customHeight="1">
      <c r="A1057" s="17" t="s">
        <v>16</v>
      </c>
      <c r="C1057" s="4" t="s">
        <v>2116</v>
      </c>
      <c r="D1057" s="4" t="s">
        <v>2117</v>
      </c>
      <c r="E1057" s="4"/>
      <c r="F1057" s="18" t="str">
        <f t="shared" si="38"/>
        <v>BEVERAGE</v>
      </c>
      <c r="G1057" s="18" t="s">
        <v>54</v>
      </c>
      <c r="H1057" s="4" t="str">
        <f t="shared" si="3"/>
        <v>18/BOX</v>
      </c>
      <c r="I1057" s="4">
        <v>18.0</v>
      </c>
      <c r="J1057" s="3" t="s">
        <v>734</v>
      </c>
      <c r="K1057" s="16">
        <v>150.114</v>
      </c>
      <c r="L1057" s="16"/>
    </row>
    <row r="1058" ht="15.75" customHeight="1">
      <c r="A1058" s="17" t="s">
        <v>16</v>
      </c>
      <c r="C1058" s="4" t="s">
        <v>2118</v>
      </c>
      <c r="D1058" s="4" t="s">
        <v>2119</v>
      </c>
      <c r="E1058" s="4"/>
      <c r="F1058" s="18" t="str">
        <f t="shared" si="38"/>
        <v>BEVERAGE</v>
      </c>
      <c r="G1058" s="18" t="s">
        <v>54</v>
      </c>
      <c r="H1058" s="4" t="str">
        <f t="shared" si="3"/>
        <v>750/Bottle</v>
      </c>
      <c r="I1058" s="4">
        <v>750.0</v>
      </c>
      <c r="J1058" s="3" t="s">
        <v>2079</v>
      </c>
      <c r="K1058" s="16">
        <v>446.4285714285714</v>
      </c>
      <c r="L1058" s="16"/>
    </row>
    <row r="1059" ht="15.75" customHeight="1">
      <c r="A1059" s="17" t="s">
        <v>16</v>
      </c>
      <c r="C1059" s="4" t="s">
        <v>2120</v>
      </c>
      <c r="D1059" s="4" t="s">
        <v>2121</v>
      </c>
      <c r="E1059" s="4"/>
      <c r="F1059" s="18" t="str">
        <f t="shared" si="38"/>
        <v>BEVERAGE</v>
      </c>
      <c r="G1059" s="18" t="s">
        <v>54</v>
      </c>
      <c r="H1059" s="4" t="str">
        <f t="shared" si="3"/>
        <v>8/BOX</v>
      </c>
      <c r="I1059" s="4">
        <v>8.0</v>
      </c>
      <c r="J1059" s="3" t="s">
        <v>734</v>
      </c>
      <c r="K1059" s="16">
        <v>401.79</v>
      </c>
      <c r="L1059" s="16"/>
    </row>
    <row r="1060" ht="15.75" customHeight="1">
      <c r="A1060" s="17" t="s">
        <v>16</v>
      </c>
      <c r="C1060" s="4" t="s">
        <v>2122</v>
      </c>
      <c r="D1060" s="4" t="s">
        <v>2123</v>
      </c>
      <c r="E1060" s="4"/>
      <c r="F1060" s="18" t="str">
        <f t="shared" si="38"/>
        <v>BEVERAGE</v>
      </c>
      <c r="G1060" s="18" t="s">
        <v>54</v>
      </c>
      <c r="H1060" s="4" t="str">
        <f t="shared" si="3"/>
        <v>2000/Pack</v>
      </c>
      <c r="I1060" s="4">
        <v>2000.0</v>
      </c>
      <c r="J1060" s="3" t="s">
        <v>441</v>
      </c>
      <c r="K1060" s="16">
        <v>1130.95</v>
      </c>
      <c r="L1060" s="16"/>
    </row>
    <row r="1061" ht="15.75" customHeight="1">
      <c r="A1061" s="17" t="s">
        <v>16</v>
      </c>
      <c r="C1061" s="4" t="s">
        <v>2124</v>
      </c>
      <c r="D1061" s="4" t="s">
        <v>2125</v>
      </c>
      <c r="E1061" s="4"/>
      <c r="F1061" s="18" t="str">
        <f t="shared" si="38"/>
        <v>BEVERAGE</v>
      </c>
      <c r="G1061" s="18" t="s">
        <v>54</v>
      </c>
      <c r="H1061" s="4" t="str">
        <f t="shared" si="3"/>
        <v>3785/Gal</v>
      </c>
      <c r="I1061" s="4">
        <v>3785.0</v>
      </c>
      <c r="J1061" s="3" t="s">
        <v>2126</v>
      </c>
      <c r="K1061" s="16">
        <v>1193.5406700000003</v>
      </c>
      <c r="L1061" s="16"/>
    </row>
    <row r="1062" ht="15.75" customHeight="1">
      <c r="A1062" s="17" t="s">
        <v>16</v>
      </c>
      <c r="C1062" s="4" t="s">
        <v>2127</v>
      </c>
      <c r="D1062" s="4" t="s">
        <v>2128</v>
      </c>
      <c r="E1062" s="4"/>
      <c r="F1062" s="18" t="str">
        <f t="shared" si="38"/>
        <v>BEVERAGE</v>
      </c>
      <c r="G1062" s="18" t="s">
        <v>54</v>
      </c>
      <c r="H1062" s="4" t="str">
        <f t="shared" si="3"/>
        <v>4536/BAG</v>
      </c>
      <c r="I1062" s="4">
        <v>4536.0</v>
      </c>
      <c r="J1062" s="3" t="s">
        <v>2115</v>
      </c>
      <c r="K1062" s="16">
        <v>1009.751203125</v>
      </c>
      <c r="L1062" s="16"/>
    </row>
    <row r="1063" ht="15.75" customHeight="1">
      <c r="A1063" s="17" t="s">
        <v>16</v>
      </c>
      <c r="C1063" s="4" t="s">
        <v>2129</v>
      </c>
      <c r="D1063" s="4" t="s">
        <v>2129</v>
      </c>
      <c r="E1063" s="4"/>
      <c r="F1063" s="18" t="str">
        <f t="shared" si="38"/>
        <v>BEVERAGE</v>
      </c>
      <c r="G1063" s="18" t="s">
        <v>54</v>
      </c>
      <c r="H1063" s="4" t="str">
        <f t="shared" si="3"/>
        <v>1/Bottle</v>
      </c>
      <c r="I1063" s="4">
        <v>1.0</v>
      </c>
      <c r="J1063" s="3" t="s">
        <v>2079</v>
      </c>
      <c r="K1063" s="16">
        <v>602.68</v>
      </c>
      <c r="L1063" s="16"/>
    </row>
    <row r="1064" ht="15.75" customHeight="1">
      <c r="A1064" s="17" t="s">
        <v>16</v>
      </c>
      <c r="C1064" s="4" t="s">
        <v>2130</v>
      </c>
      <c r="D1064" s="4" t="s">
        <v>2131</v>
      </c>
      <c r="E1064" s="4"/>
      <c r="F1064" s="18" t="str">
        <f t="shared" si="38"/>
        <v>BEVERAGE</v>
      </c>
      <c r="G1064" s="18" t="s">
        <v>54</v>
      </c>
      <c r="H1064" s="4" t="str">
        <f t="shared" si="3"/>
        <v>6/PACK</v>
      </c>
      <c r="I1064" s="4">
        <v>6.0</v>
      </c>
      <c r="J1064" s="3" t="s">
        <v>23</v>
      </c>
      <c r="K1064" s="16">
        <v>424.11</v>
      </c>
      <c r="L1064" s="16"/>
    </row>
    <row r="1065" ht="15.75" customHeight="1">
      <c r="A1065" s="17" t="s">
        <v>16</v>
      </c>
      <c r="C1065" s="4" t="s">
        <v>2132</v>
      </c>
      <c r="D1065" s="4" t="s">
        <v>2133</v>
      </c>
      <c r="E1065" s="4"/>
      <c r="F1065" s="18" t="str">
        <f t="shared" si="38"/>
        <v>BEVERAGE</v>
      </c>
      <c r="G1065" s="18" t="s">
        <v>54</v>
      </c>
      <c r="H1065" s="4" t="str">
        <f t="shared" si="3"/>
        <v>5000/pack</v>
      </c>
      <c r="I1065" s="4">
        <v>5000.0</v>
      </c>
      <c r="J1065" s="3" t="s">
        <v>134</v>
      </c>
      <c r="K1065" s="16">
        <v>3175.41</v>
      </c>
      <c r="L1065" s="16"/>
    </row>
    <row r="1066" ht="15.75" customHeight="1">
      <c r="A1066" s="17" t="s">
        <v>16</v>
      </c>
      <c r="C1066" s="20" t="s">
        <v>2134</v>
      </c>
      <c r="D1066" s="4" t="s">
        <v>2135</v>
      </c>
      <c r="E1066" s="4"/>
      <c r="F1066" s="18" t="str">
        <f t="shared" si="38"/>
        <v>BEVERAGE</v>
      </c>
      <c r="G1066" s="18" t="s">
        <v>54</v>
      </c>
      <c r="H1066" s="4" t="str">
        <f t="shared" si="3"/>
        <v>1000/Kg</v>
      </c>
      <c r="I1066" s="18">
        <v>1000.0</v>
      </c>
      <c r="J1066" s="19" t="s">
        <v>1898</v>
      </c>
      <c r="K1066" s="16">
        <v>280.42</v>
      </c>
      <c r="L1066" s="16"/>
    </row>
    <row r="1067" ht="15.75" customHeight="1">
      <c r="A1067" s="17" t="s">
        <v>16</v>
      </c>
      <c r="C1067" s="4" t="s">
        <v>2136</v>
      </c>
      <c r="D1067" s="4" t="s">
        <v>2137</v>
      </c>
      <c r="E1067" s="4"/>
      <c r="F1067" s="18" t="str">
        <f t="shared" si="38"/>
        <v>BEVERAGE</v>
      </c>
      <c r="G1067" s="18" t="s">
        <v>54</v>
      </c>
      <c r="H1067" s="4" t="str">
        <f t="shared" si="3"/>
        <v>24/Case</v>
      </c>
      <c r="I1067" s="4">
        <v>24.0</v>
      </c>
      <c r="J1067" s="3" t="s">
        <v>2082</v>
      </c>
      <c r="K1067" s="16">
        <v>963.6363636363636</v>
      </c>
      <c r="L1067" s="16"/>
    </row>
    <row r="1068" ht="15.75" customHeight="1">
      <c r="A1068" s="17" t="s">
        <v>16</v>
      </c>
      <c r="C1068" s="4" t="s">
        <v>351</v>
      </c>
      <c r="D1068" s="4" t="s">
        <v>2138</v>
      </c>
      <c r="E1068" s="4"/>
      <c r="F1068" s="18" t="str">
        <f t="shared" si="38"/>
        <v>BEVERAGE</v>
      </c>
      <c r="G1068" s="18" t="s">
        <v>54</v>
      </c>
      <c r="H1068" s="4" t="str">
        <f t="shared" si="3"/>
        <v>24/Case</v>
      </c>
      <c r="I1068" s="18">
        <v>24.0</v>
      </c>
      <c r="J1068" s="19" t="s">
        <v>2082</v>
      </c>
      <c r="K1068" s="16">
        <v>963.6363636363636</v>
      </c>
      <c r="L1068" s="16"/>
    </row>
    <row r="1069" ht="15.75" customHeight="1">
      <c r="A1069" s="17" t="s">
        <v>16</v>
      </c>
      <c r="C1069" s="4" t="s">
        <v>2139</v>
      </c>
      <c r="D1069" s="4" t="s">
        <v>2140</v>
      </c>
      <c r="E1069" s="4"/>
      <c r="F1069" s="18" t="str">
        <f t="shared" si="38"/>
        <v>BEVERAGE</v>
      </c>
      <c r="G1069" s="18" t="s">
        <v>54</v>
      </c>
      <c r="H1069" s="4" t="str">
        <f t="shared" si="3"/>
        <v>700/Bottle</v>
      </c>
      <c r="I1069" s="4">
        <v>700.0</v>
      </c>
      <c r="J1069" s="3" t="s">
        <v>2079</v>
      </c>
      <c r="K1069" s="16">
        <v>570.7582500000001</v>
      </c>
      <c r="L1069" s="16"/>
    </row>
    <row r="1070" ht="15.75" customHeight="1">
      <c r="A1070" s="17" t="s">
        <v>16</v>
      </c>
      <c r="C1070" s="4" t="s">
        <v>2141</v>
      </c>
      <c r="D1070" s="4" t="s">
        <v>2142</v>
      </c>
      <c r="E1070" s="4"/>
      <c r="F1070" s="18" t="str">
        <f t="shared" si="38"/>
        <v>BEVERAGE</v>
      </c>
      <c r="G1070" s="18" t="s">
        <v>54</v>
      </c>
      <c r="H1070" s="4" t="str">
        <f t="shared" si="3"/>
        <v>350/Bottle</v>
      </c>
      <c r="I1070" s="4">
        <v>350.0</v>
      </c>
      <c r="J1070" s="3" t="s">
        <v>2079</v>
      </c>
      <c r="K1070" s="16">
        <v>290.97</v>
      </c>
      <c r="L1070" s="16"/>
    </row>
    <row r="1071" ht="15.75" customHeight="1">
      <c r="A1071" s="17" t="s">
        <v>16</v>
      </c>
      <c r="C1071" s="4" t="s">
        <v>2143</v>
      </c>
      <c r="D1071" s="4" t="s">
        <v>2144</v>
      </c>
      <c r="E1071" s="4"/>
      <c r="F1071" s="18" t="str">
        <f t="shared" si="38"/>
        <v>BEVERAGE</v>
      </c>
      <c r="G1071" s="18" t="s">
        <v>54</v>
      </c>
      <c r="H1071" s="4" t="str">
        <f t="shared" si="3"/>
        <v>1000/Kg</v>
      </c>
      <c r="I1071" s="18">
        <v>1000.0</v>
      </c>
      <c r="J1071" s="19" t="s">
        <v>1898</v>
      </c>
      <c r="K1071" s="16">
        <v>1452.24</v>
      </c>
      <c r="L1071" s="16"/>
    </row>
    <row r="1072" ht="15.75" customHeight="1">
      <c r="A1072" s="17" t="s">
        <v>16</v>
      </c>
      <c r="C1072" s="4" t="s">
        <v>2145</v>
      </c>
      <c r="D1072" s="4" t="s">
        <v>2146</v>
      </c>
      <c r="E1072" s="4"/>
      <c r="F1072" s="18" t="str">
        <f t="shared" si="38"/>
        <v>BEVERAGE</v>
      </c>
      <c r="G1072" s="18" t="s">
        <v>54</v>
      </c>
      <c r="H1072" s="4" t="str">
        <f t="shared" si="3"/>
        <v>750/Bottle</v>
      </c>
      <c r="I1072" s="4">
        <v>750.0</v>
      </c>
      <c r="J1072" s="3" t="s">
        <v>2079</v>
      </c>
      <c r="K1072" s="16">
        <v>669.6428571428571</v>
      </c>
      <c r="L1072" s="16"/>
    </row>
    <row r="1073" ht="15.75" customHeight="1">
      <c r="A1073" s="17" t="s">
        <v>16</v>
      </c>
      <c r="C1073" s="4" t="s">
        <v>2147</v>
      </c>
      <c r="D1073" s="4" t="s">
        <v>2148</v>
      </c>
      <c r="E1073" s="4"/>
      <c r="F1073" s="18" t="str">
        <f t="shared" si="38"/>
        <v>BEVERAGE</v>
      </c>
      <c r="G1073" s="18" t="s">
        <v>54</v>
      </c>
      <c r="H1073" s="4" t="str">
        <f t="shared" si="3"/>
        <v>750/Bottle</v>
      </c>
      <c r="I1073" s="4">
        <v>750.0</v>
      </c>
      <c r="J1073" s="3" t="s">
        <v>2079</v>
      </c>
      <c r="K1073" s="16">
        <v>758.9285714285713</v>
      </c>
      <c r="L1073" s="16"/>
    </row>
    <row r="1074" ht="15.75" customHeight="1">
      <c r="A1074" s="17" t="s">
        <v>16</v>
      </c>
      <c r="C1074" s="4" t="s">
        <v>2149</v>
      </c>
      <c r="D1074" s="4" t="s">
        <v>2149</v>
      </c>
      <c r="E1074" s="4"/>
      <c r="F1074" s="18" t="str">
        <f t="shared" si="38"/>
        <v>BEVERAGE</v>
      </c>
      <c r="G1074" s="18" t="s">
        <v>54</v>
      </c>
      <c r="H1074" s="4" t="str">
        <f t="shared" si="3"/>
        <v>1/Bottle</v>
      </c>
      <c r="I1074" s="4">
        <v>1.0</v>
      </c>
      <c r="J1074" s="3" t="s">
        <v>2079</v>
      </c>
      <c r="K1074" s="16">
        <v>669.6428571428571</v>
      </c>
      <c r="L1074" s="16"/>
    </row>
    <row r="1075" ht="15.75" customHeight="1">
      <c r="A1075" s="17" t="s">
        <v>16</v>
      </c>
      <c r="C1075" s="4" t="s">
        <v>2150</v>
      </c>
      <c r="D1075" s="4" t="s">
        <v>2151</v>
      </c>
      <c r="E1075" s="4"/>
      <c r="F1075" s="18" t="str">
        <f t="shared" si="38"/>
        <v>BEVERAGE</v>
      </c>
      <c r="G1075" s="18" t="s">
        <v>54</v>
      </c>
      <c r="H1075" s="4" t="str">
        <f t="shared" si="3"/>
        <v>18/BOX</v>
      </c>
      <c r="I1075" s="4">
        <v>18.0</v>
      </c>
      <c r="J1075" s="3" t="s">
        <v>734</v>
      </c>
      <c r="K1075" s="16">
        <v>144.84117187499996</v>
      </c>
      <c r="L1075" s="16"/>
    </row>
    <row r="1076" ht="15.75" customHeight="1">
      <c r="A1076" s="17" t="s">
        <v>16</v>
      </c>
      <c r="C1076" s="4" t="s">
        <v>2152</v>
      </c>
      <c r="D1076" s="4" t="s">
        <v>2153</v>
      </c>
      <c r="E1076" s="4"/>
      <c r="F1076" s="18" t="str">
        <f t="shared" si="38"/>
        <v>BEVERAGE</v>
      </c>
      <c r="G1076" s="18" t="s">
        <v>54</v>
      </c>
      <c r="H1076" s="4" t="str">
        <f t="shared" si="3"/>
        <v>50/BAG</v>
      </c>
      <c r="I1076" s="4">
        <v>50.0</v>
      </c>
      <c r="J1076" s="3" t="s">
        <v>2115</v>
      </c>
      <c r="K1076" s="16">
        <v>447.19</v>
      </c>
      <c r="L1076" s="16"/>
    </row>
    <row r="1077" ht="15.75" customHeight="1">
      <c r="A1077" s="17" t="s">
        <v>16</v>
      </c>
      <c r="C1077" s="4" t="s">
        <v>2154</v>
      </c>
      <c r="D1077" s="4" t="s">
        <v>2155</v>
      </c>
      <c r="E1077" s="4"/>
      <c r="F1077" s="18" t="str">
        <f t="shared" si="38"/>
        <v>BEVERAGE</v>
      </c>
      <c r="G1077" s="18" t="s">
        <v>54</v>
      </c>
      <c r="H1077" s="4" t="str">
        <f t="shared" si="3"/>
        <v>10/CASE</v>
      </c>
      <c r="I1077" s="4">
        <v>10.0</v>
      </c>
      <c r="J1077" s="3" t="s">
        <v>2156</v>
      </c>
      <c r="K1077" s="16">
        <v>10714.285714285714</v>
      </c>
      <c r="L1077" s="16"/>
    </row>
    <row r="1078" ht="15.75" customHeight="1">
      <c r="A1078" s="17" t="s">
        <v>16</v>
      </c>
      <c r="C1078" s="4" t="s">
        <v>2157</v>
      </c>
      <c r="D1078" s="4" t="s">
        <v>2158</v>
      </c>
      <c r="E1078" s="4"/>
      <c r="F1078" s="18" t="str">
        <f t="shared" si="38"/>
        <v>BEVERAGE</v>
      </c>
      <c r="G1078" s="18" t="s">
        <v>54</v>
      </c>
      <c r="H1078" s="4" t="str">
        <f t="shared" si="3"/>
        <v>907/Bag</v>
      </c>
      <c r="I1078" s="4">
        <v>907.0</v>
      </c>
      <c r="J1078" s="3" t="s">
        <v>2159</v>
      </c>
      <c r="K1078" s="16">
        <v>1505.19</v>
      </c>
      <c r="L1078" s="16"/>
    </row>
    <row r="1079" ht="15.75" customHeight="1">
      <c r="A1079" s="17" t="s">
        <v>16</v>
      </c>
      <c r="C1079" s="4" t="s">
        <v>2160</v>
      </c>
      <c r="D1079" s="4" t="s">
        <v>2161</v>
      </c>
      <c r="E1079" s="4"/>
      <c r="F1079" s="18" t="str">
        <f t="shared" si="38"/>
        <v>BEVERAGE</v>
      </c>
      <c r="G1079" s="18" t="s">
        <v>54</v>
      </c>
      <c r="H1079" s="4" t="str">
        <f t="shared" si="3"/>
        <v>5000/BAG</v>
      </c>
      <c r="I1079" s="4">
        <v>5000.0</v>
      </c>
      <c r="J1079" s="3" t="s">
        <v>2115</v>
      </c>
      <c r="K1079" s="16">
        <v>2122.42</v>
      </c>
      <c r="L1079" s="16"/>
    </row>
    <row r="1080" ht="15.75" customHeight="1">
      <c r="A1080" s="17" t="s">
        <v>16</v>
      </c>
      <c r="C1080" s="4" t="s">
        <v>1424</v>
      </c>
      <c r="D1080" s="4" t="s">
        <v>2162</v>
      </c>
      <c r="E1080" s="4"/>
      <c r="F1080" s="18" t="str">
        <f t="shared" si="38"/>
        <v>BEVERAGE</v>
      </c>
      <c r="G1080" s="18" t="s">
        <v>54</v>
      </c>
      <c r="H1080" s="4" t="str">
        <f t="shared" si="3"/>
        <v>1/order</v>
      </c>
      <c r="I1080" s="18">
        <v>1.0</v>
      </c>
      <c r="J1080" s="19" t="s">
        <v>2108</v>
      </c>
      <c r="K1080" s="16">
        <v>37.81332</v>
      </c>
      <c r="L1080" s="16"/>
    </row>
    <row r="1081" ht="15.75" customHeight="1">
      <c r="A1081" s="17" t="s">
        <v>16</v>
      </c>
      <c r="C1081" s="4" t="s">
        <v>2163</v>
      </c>
      <c r="D1081" s="4" t="s">
        <v>2164</v>
      </c>
      <c r="E1081" s="4"/>
      <c r="F1081" s="18" t="str">
        <f t="shared" si="38"/>
        <v>BEVERAGE</v>
      </c>
      <c r="G1081" s="18" t="s">
        <v>54</v>
      </c>
      <c r="H1081" s="4" t="str">
        <f t="shared" si="3"/>
        <v>1000/Pack</v>
      </c>
      <c r="I1081" s="4">
        <v>1000.0</v>
      </c>
      <c r="J1081" s="3" t="s">
        <v>441</v>
      </c>
      <c r="K1081" s="16">
        <v>982.0105820105819</v>
      </c>
      <c r="L1081" s="16"/>
    </row>
    <row r="1082" ht="15.75" customHeight="1">
      <c r="A1082" s="17" t="s">
        <v>16</v>
      </c>
      <c r="C1082" s="4" t="s">
        <v>2165</v>
      </c>
      <c r="D1082" s="4" t="s">
        <v>2166</v>
      </c>
      <c r="E1082" s="4"/>
      <c r="F1082" s="18" t="str">
        <f t="shared" si="38"/>
        <v>BEVERAGE</v>
      </c>
      <c r="G1082" s="18" t="s">
        <v>54</v>
      </c>
      <c r="H1082" s="4" t="str">
        <f t="shared" si="3"/>
        <v>4/Batch</v>
      </c>
      <c r="I1082" s="4">
        <v>4.0</v>
      </c>
      <c r="J1082" s="3" t="s">
        <v>2167</v>
      </c>
      <c r="K1082" s="16">
        <v>125.0</v>
      </c>
      <c r="L1082" s="16"/>
    </row>
    <row r="1083" ht="15.75" customHeight="1">
      <c r="A1083" s="17" t="s">
        <v>16</v>
      </c>
      <c r="C1083" s="4" t="s">
        <v>2168</v>
      </c>
      <c r="D1083" s="4" t="s">
        <v>2169</v>
      </c>
      <c r="E1083" s="4"/>
      <c r="F1083" s="18" t="str">
        <f t="shared" si="38"/>
        <v>BEVERAGE</v>
      </c>
      <c r="G1083" s="18" t="s">
        <v>54</v>
      </c>
      <c r="H1083" s="4" t="str">
        <f t="shared" si="3"/>
        <v>4/Batch</v>
      </c>
      <c r="I1083" s="4">
        <v>4.0</v>
      </c>
      <c r="J1083" s="3" t="s">
        <v>2167</v>
      </c>
      <c r="K1083" s="16">
        <v>127.63</v>
      </c>
      <c r="L1083" s="16"/>
    </row>
    <row r="1084" ht="15.75" customHeight="1">
      <c r="A1084" s="17" t="s">
        <v>16</v>
      </c>
      <c r="C1084" s="4" t="s">
        <v>2170</v>
      </c>
      <c r="D1084" s="4" t="s">
        <v>2171</v>
      </c>
      <c r="E1084" s="4"/>
      <c r="F1084" s="18" t="str">
        <f t="shared" si="38"/>
        <v>BEVERAGE</v>
      </c>
      <c r="G1084" s="18" t="s">
        <v>54</v>
      </c>
      <c r="H1084" s="4" t="str">
        <f t="shared" si="3"/>
        <v>50/BAG</v>
      </c>
      <c r="I1084" s="4">
        <v>50.0</v>
      </c>
      <c r="J1084" s="3" t="s">
        <v>2115</v>
      </c>
      <c r="K1084" s="16">
        <v>813.54</v>
      </c>
      <c r="L1084" s="16"/>
    </row>
    <row r="1085" ht="15.75" customHeight="1">
      <c r="A1085" s="17" t="s">
        <v>16</v>
      </c>
      <c r="C1085" s="4" t="s">
        <v>2172</v>
      </c>
      <c r="D1085" s="4" t="s">
        <v>2173</v>
      </c>
      <c r="E1085" s="4"/>
      <c r="F1085" s="18" t="str">
        <f t="shared" si="38"/>
        <v>BEVERAGE</v>
      </c>
      <c r="G1085" s="18" t="s">
        <v>54</v>
      </c>
      <c r="H1085" s="4" t="str">
        <f t="shared" si="3"/>
        <v>1000/Bottle</v>
      </c>
      <c r="I1085" s="4">
        <v>1000.0</v>
      </c>
      <c r="J1085" s="3" t="s">
        <v>2079</v>
      </c>
      <c r="K1085" s="16">
        <v>269.62</v>
      </c>
      <c r="L1085" s="16"/>
    </row>
    <row r="1086" ht="15.75" customHeight="1">
      <c r="A1086" s="17" t="s">
        <v>16</v>
      </c>
      <c r="C1086" s="3" t="s">
        <v>2174</v>
      </c>
      <c r="D1086" s="4" t="s">
        <v>2175</v>
      </c>
      <c r="E1086" s="4"/>
      <c r="F1086" s="18" t="str">
        <f t="shared" si="38"/>
        <v>BEVERAGE</v>
      </c>
      <c r="G1086" s="18" t="s">
        <v>54</v>
      </c>
      <c r="H1086" s="4" t="str">
        <f t="shared" si="3"/>
        <v>24/Case</v>
      </c>
      <c r="I1086" s="4">
        <v>24.0</v>
      </c>
      <c r="J1086" s="3" t="s">
        <v>2082</v>
      </c>
      <c r="K1086" s="16">
        <v>1553.6842105263158</v>
      </c>
      <c r="L1086" s="16"/>
    </row>
    <row r="1087" ht="15.75" customHeight="1">
      <c r="A1087" s="17" t="s">
        <v>16</v>
      </c>
      <c r="C1087" s="4" t="s">
        <v>2176</v>
      </c>
      <c r="D1087" s="4" t="s">
        <v>2177</v>
      </c>
      <c r="E1087" s="4"/>
      <c r="F1087" s="18" t="str">
        <f t="shared" si="38"/>
        <v>BEVERAGE</v>
      </c>
      <c r="G1087" s="18" t="s">
        <v>54</v>
      </c>
      <c r="H1087" s="4" t="str">
        <f t="shared" si="3"/>
        <v>24/CASE</v>
      </c>
      <c r="I1087" s="4">
        <v>24.0</v>
      </c>
      <c r="J1087" s="3" t="s">
        <v>2156</v>
      </c>
      <c r="K1087" s="16">
        <v>282.0</v>
      </c>
      <c r="L1087" s="16"/>
    </row>
    <row r="1088" ht="15.75" customHeight="1">
      <c r="A1088" s="17" t="s">
        <v>16</v>
      </c>
      <c r="C1088" s="4" t="s">
        <v>2178</v>
      </c>
      <c r="D1088" s="4" t="s">
        <v>2179</v>
      </c>
      <c r="E1088" s="4"/>
      <c r="F1088" s="18" t="str">
        <f t="shared" si="38"/>
        <v>BEVERAGE</v>
      </c>
      <c r="G1088" s="18" t="s">
        <v>54</v>
      </c>
      <c r="H1088" s="4" t="str">
        <f t="shared" si="3"/>
        <v>12/Case</v>
      </c>
      <c r="I1088" s="4">
        <v>12.0</v>
      </c>
      <c r="J1088" s="3" t="s">
        <v>2082</v>
      </c>
      <c r="K1088" s="16">
        <v>221.05263157894737</v>
      </c>
      <c r="L1088" s="16"/>
    </row>
    <row r="1089" ht="15.75" customHeight="1">
      <c r="A1089" s="17" t="s">
        <v>16</v>
      </c>
      <c r="C1089" s="4" t="s">
        <v>2180</v>
      </c>
      <c r="D1089" s="4" t="s">
        <v>2181</v>
      </c>
      <c r="E1089" s="4"/>
      <c r="F1089" s="18" t="str">
        <f t="shared" si="38"/>
        <v>BEVERAGE</v>
      </c>
      <c r="G1089" s="18" t="s">
        <v>54</v>
      </c>
      <c r="H1089" s="4" t="str">
        <f t="shared" si="3"/>
        <v>1000/Pack</v>
      </c>
      <c r="I1089" s="4">
        <v>1000.0</v>
      </c>
      <c r="J1089" s="3" t="s">
        <v>441</v>
      </c>
      <c r="K1089" s="16">
        <v>479.29</v>
      </c>
      <c r="L1089" s="16"/>
    </row>
    <row r="1090" ht="15.75" customHeight="1">
      <c r="A1090" s="17" t="s">
        <v>16</v>
      </c>
      <c r="C1090" s="4" t="s">
        <v>2182</v>
      </c>
      <c r="D1090" s="4" t="s">
        <v>2183</v>
      </c>
      <c r="E1090" s="4"/>
      <c r="F1090" s="18" t="str">
        <f t="shared" si="38"/>
        <v>BEVERAGE</v>
      </c>
      <c r="G1090" s="18" t="s">
        <v>54</v>
      </c>
      <c r="H1090" s="4" t="str">
        <f t="shared" si="3"/>
        <v>750/Bottle</v>
      </c>
      <c r="I1090" s="18">
        <v>750.0</v>
      </c>
      <c r="J1090" s="19" t="s">
        <v>2079</v>
      </c>
      <c r="K1090" s="16">
        <v>776.79</v>
      </c>
      <c r="L1090" s="16"/>
    </row>
    <row r="1091" ht="15.75" customHeight="1">
      <c r="A1091" s="17" t="s">
        <v>16</v>
      </c>
      <c r="C1091" s="4" t="s">
        <v>2184</v>
      </c>
      <c r="D1091" s="4" t="s">
        <v>2185</v>
      </c>
      <c r="E1091" s="4"/>
      <c r="F1091" s="18" t="str">
        <f t="shared" si="38"/>
        <v>BEVERAGE</v>
      </c>
      <c r="G1091" s="18" t="s">
        <v>54</v>
      </c>
      <c r="H1091" s="4" t="str">
        <f t="shared" si="3"/>
        <v>2000/Bottle</v>
      </c>
      <c r="I1091" s="4">
        <v>2000.0</v>
      </c>
      <c r="J1091" s="3" t="s">
        <v>2079</v>
      </c>
      <c r="K1091" s="16">
        <v>207.7922077922078</v>
      </c>
      <c r="L1091" s="16"/>
    </row>
    <row r="1092" ht="15.75" customHeight="1">
      <c r="A1092" s="17" t="s">
        <v>16</v>
      </c>
      <c r="C1092" s="4" t="s">
        <v>2186</v>
      </c>
      <c r="D1092" s="4" t="s">
        <v>2187</v>
      </c>
      <c r="E1092" s="4"/>
      <c r="F1092" s="18" t="str">
        <f t="shared" si="38"/>
        <v>BEVERAGE</v>
      </c>
      <c r="G1092" s="18" t="s">
        <v>54</v>
      </c>
      <c r="H1092" s="4" t="str">
        <f t="shared" si="3"/>
        <v>1500/BAG</v>
      </c>
      <c r="I1092" s="4">
        <v>1500.0</v>
      </c>
      <c r="J1092" s="3" t="s">
        <v>2115</v>
      </c>
      <c r="K1092" s="16">
        <v>256.16</v>
      </c>
      <c r="L1092" s="16"/>
    </row>
    <row r="1093" ht="15.75" customHeight="1">
      <c r="A1093" s="17" t="s">
        <v>16</v>
      </c>
      <c r="C1093" s="4" t="s">
        <v>2188</v>
      </c>
      <c r="D1093" s="4" t="s">
        <v>2189</v>
      </c>
      <c r="E1093" s="4"/>
      <c r="F1093" s="18" t="str">
        <f t="shared" si="38"/>
        <v>BEVERAGE</v>
      </c>
      <c r="G1093" s="18" t="s">
        <v>54</v>
      </c>
      <c r="H1093" s="4" t="str">
        <f t="shared" si="3"/>
        <v>1500/Bag</v>
      </c>
      <c r="I1093" s="4">
        <v>1500.0</v>
      </c>
      <c r="J1093" s="3" t="s">
        <v>2159</v>
      </c>
      <c r="K1093" s="16">
        <v>455.23</v>
      </c>
      <c r="L1093" s="16"/>
    </row>
    <row r="1094" ht="15.75" customHeight="1">
      <c r="A1094" s="17" t="s">
        <v>16</v>
      </c>
      <c r="C1094" s="4" t="s">
        <v>2190</v>
      </c>
      <c r="D1094" s="4" t="s">
        <v>2191</v>
      </c>
      <c r="E1094" s="4"/>
      <c r="F1094" s="18" t="str">
        <f t="shared" si="38"/>
        <v>BEVERAGE</v>
      </c>
      <c r="G1094" s="18" t="s">
        <v>54</v>
      </c>
      <c r="H1094" s="4" t="str">
        <f t="shared" si="3"/>
        <v>750/PC</v>
      </c>
      <c r="I1094" s="4">
        <v>750.0</v>
      </c>
      <c r="J1094" s="3" t="s">
        <v>42</v>
      </c>
      <c r="K1094" s="16">
        <v>451.1263157894737</v>
      </c>
      <c r="L1094" s="16"/>
    </row>
    <row r="1095" ht="15.75" customHeight="1">
      <c r="A1095" s="17" t="s">
        <v>16</v>
      </c>
      <c r="C1095" s="4" t="s">
        <v>2192</v>
      </c>
      <c r="D1095" s="4" t="s">
        <v>2193</v>
      </c>
      <c r="E1095" s="4"/>
      <c r="F1095" s="18" t="str">
        <f t="shared" si="38"/>
        <v>BEVERAGE</v>
      </c>
      <c r="G1095" s="18" t="s">
        <v>54</v>
      </c>
      <c r="H1095" s="4" t="str">
        <f t="shared" si="3"/>
        <v>50/BAG</v>
      </c>
      <c r="I1095" s="4">
        <v>50.0</v>
      </c>
      <c r="J1095" s="3" t="s">
        <v>2115</v>
      </c>
      <c r="K1095" s="16">
        <v>672.06</v>
      </c>
      <c r="L1095" s="16"/>
    </row>
    <row r="1096" ht="15.75" customHeight="1">
      <c r="A1096" s="17" t="s">
        <v>16</v>
      </c>
      <c r="C1096" s="4" t="s">
        <v>2194</v>
      </c>
      <c r="D1096" s="4" t="s">
        <v>2195</v>
      </c>
      <c r="E1096" s="4"/>
      <c r="F1096" s="18" t="str">
        <f t="shared" si="38"/>
        <v>BEVERAGE</v>
      </c>
      <c r="G1096" s="18" t="s">
        <v>54</v>
      </c>
      <c r="H1096" s="4" t="str">
        <f t="shared" si="3"/>
        <v>750/Bottle</v>
      </c>
      <c r="I1096" s="4">
        <v>750.0</v>
      </c>
      <c r="J1096" s="3" t="s">
        <v>2079</v>
      </c>
      <c r="K1096" s="16">
        <v>401.7857142857142</v>
      </c>
      <c r="L1096" s="16"/>
    </row>
    <row r="1097" ht="15.75" customHeight="1">
      <c r="A1097" s="17" t="s">
        <v>16</v>
      </c>
      <c r="C1097" s="4" t="s">
        <v>2196</v>
      </c>
      <c r="D1097" s="18" t="s">
        <v>2196</v>
      </c>
      <c r="E1097" s="18"/>
      <c r="F1097" s="18" t="str">
        <f t="shared" si="38"/>
        <v>BEVERAGE</v>
      </c>
      <c r="G1097" s="18" t="s">
        <v>54</v>
      </c>
      <c r="H1097" s="4" t="str">
        <f t="shared" si="3"/>
        <v>1/Bottle</v>
      </c>
      <c r="I1097" s="4">
        <v>1.0</v>
      </c>
      <c r="J1097" s="3" t="s">
        <v>2079</v>
      </c>
      <c r="K1097" s="16">
        <v>669.64</v>
      </c>
      <c r="L1097" s="16"/>
    </row>
    <row r="1098" ht="15.75" customHeight="1">
      <c r="A1098" s="17" t="s">
        <v>16</v>
      </c>
      <c r="C1098" s="4" t="s">
        <v>2197</v>
      </c>
      <c r="D1098" s="4" t="s">
        <v>2197</v>
      </c>
      <c r="E1098" s="4"/>
      <c r="F1098" s="18" t="str">
        <f t="shared" si="38"/>
        <v>BEVERAGE</v>
      </c>
      <c r="G1098" s="18" t="s">
        <v>54</v>
      </c>
      <c r="H1098" s="4" t="str">
        <f t="shared" si="3"/>
        <v>1000/LIT</v>
      </c>
      <c r="I1098" s="18">
        <v>1000.0</v>
      </c>
      <c r="J1098" s="19" t="s">
        <v>20</v>
      </c>
      <c r="K1098" s="16">
        <v>23.96</v>
      </c>
      <c r="L1098" s="16"/>
    </row>
    <row r="1099" ht="15.75" customHeight="1">
      <c r="A1099" s="17" t="s">
        <v>16</v>
      </c>
      <c r="C1099" s="4" t="s">
        <v>2198</v>
      </c>
      <c r="D1099" s="18" t="s">
        <v>2199</v>
      </c>
      <c r="E1099" s="18"/>
      <c r="F1099" s="18" t="str">
        <f t="shared" si="38"/>
        <v>BEVERAGE</v>
      </c>
      <c r="G1099" s="18" t="s">
        <v>54</v>
      </c>
      <c r="H1099" s="4" t="str">
        <f t="shared" si="3"/>
        <v>2000/Bottle</v>
      </c>
      <c r="I1099" s="4">
        <v>2000.0</v>
      </c>
      <c r="J1099" s="3" t="s">
        <v>2079</v>
      </c>
      <c r="K1099" s="16">
        <v>189.33538995</v>
      </c>
      <c r="L1099" s="16"/>
    </row>
    <row r="1100" ht="15.75" customHeight="1">
      <c r="A1100" s="17" t="s">
        <v>16</v>
      </c>
      <c r="C1100" s="4" t="s">
        <v>2200</v>
      </c>
      <c r="D1100" s="4" t="s">
        <v>2201</v>
      </c>
      <c r="E1100" s="4"/>
      <c r="F1100" s="18" t="str">
        <f t="shared" si="38"/>
        <v>BEVERAGE</v>
      </c>
      <c r="G1100" s="18" t="s">
        <v>54</v>
      </c>
      <c r="H1100" s="4" t="str">
        <f t="shared" si="3"/>
        <v>18/BOX</v>
      </c>
      <c r="I1100" s="4">
        <v>18.0</v>
      </c>
      <c r="J1100" s="3" t="s">
        <v>734</v>
      </c>
      <c r="K1100" s="16">
        <v>155.50687499999998</v>
      </c>
      <c r="L1100" s="16"/>
    </row>
    <row r="1101" ht="15.75" customHeight="1">
      <c r="A1101" s="17" t="s">
        <v>16</v>
      </c>
      <c r="C1101" s="4" t="s">
        <v>2202</v>
      </c>
      <c r="D1101" s="18" t="s">
        <v>2203</v>
      </c>
      <c r="E1101" s="18"/>
      <c r="F1101" s="18" t="str">
        <f t="shared" si="38"/>
        <v>BEVERAGE</v>
      </c>
      <c r="G1101" s="18" t="s">
        <v>54</v>
      </c>
      <c r="H1101" s="4" t="str">
        <f t="shared" si="3"/>
        <v>24/Case</v>
      </c>
      <c r="I1101" s="4">
        <v>24.0</v>
      </c>
      <c r="J1101" s="3" t="s">
        <v>2082</v>
      </c>
      <c r="K1101" s="16">
        <v>2074.06</v>
      </c>
      <c r="L1101" s="16"/>
    </row>
    <row r="1102" ht="15.75" customHeight="1">
      <c r="A1102" s="17" t="s">
        <v>16</v>
      </c>
      <c r="C1102" s="4" t="s">
        <v>2204</v>
      </c>
      <c r="D1102" s="4" t="s">
        <v>2205</v>
      </c>
      <c r="E1102" s="4"/>
      <c r="F1102" s="18" t="str">
        <f t="shared" si="38"/>
        <v>BEVERAGE</v>
      </c>
      <c r="G1102" s="18" t="s">
        <v>54</v>
      </c>
      <c r="H1102" s="4" t="str">
        <f t="shared" si="3"/>
        <v>2000/Bottle</v>
      </c>
      <c r="I1102" s="4">
        <v>2000.0</v>
      </c>
      <c r="J1102" s="3" t="s">
        <v>2079</v>
      </c>
      <c r="K1102" s="16">
        <v>177.1455</v>
      </c>
      <c r="L1102" s="16"/>
    </row>
    <row r="1103" ht="15.75" customHeight="1">
      <c r="A1103" s="17" t="s">
        <v>16</v>
      </c>
      <c r="C1103" s="4" t="s">
        <v>2206</v>
      </c>
      <c r="D1103" s="4" t="s">
        <v>2207</v>
      </c>
      <c r="E1103" s="4"/>
      <c r="F1103" s="18" t="str">
        <f t="shared" si="38"/>
        <v>BEVERAGE</v>
      </c>
      <c r="G1103" s="18" t="s">
        <v>54</v>
      </c>
      <c r="H1103" s="4" t="str">
        <f t="shared" si="3"/>
        <v>24/Case</v>
      </c>
      <c r="I1103" s="4">
        <v>24.0</v>
      </c>
      <c r="J1103" s="3" t="s">
        <v>2082</v>
      </c>
      <c r="K1103" s="16">
        <v>1146.0919642857143</v>
      </c>
      <c r="L1103" s="16"/>
    </row>
    <row r="1104" ht="15.75" customHeight="1">
      <c r="A1104" s="17" t="s">
        <v>16</v>
      </c>
      <c r="C1104" s="4" t="s">
        <v>2208</v>
      </c>
      <c r="D1104" s="4" t="s">
        <v>2208</v>
      </c>
      <c r="E1104" s="4"/>
      <c r="F1104" s="18" t="str">
        <f t="shared" si="38"/>
        <v>BEVERAGE</v>
      </c>
      <c r="G1104" s="18" t="s">
        <v>54</v>
      </c>
      <c r="H1104" s="4" t="str">
        <f t="shared" si="3"/>
        <v>1/Bottle</v>
      </c>
      <c r="I1104" s="4">
        <v>1.0</v>
      </c>
      <c r="J1104" s="3" t="s">
        <v>2079</v>
      </c>
      <c r="K1104" s="16">
        <v>517.86</v>
      </c>
      <c r="L1104" s="16"/>
    </row>
    <row r="1105" ht="15.75" customHeight="1">
      <c r="A1105" s="17" t="s">
        <v>16</v>
      </c>
      <c r="C1105" s="4" t="s">
        <v>2209</v>
      </c>
      <c r="D1105" s="4" t="s">
        <v>2210</v>
      </c>
      <c r="E1105" s="4"/>
      <c r="F1105" s="18" t="str">
        <f t="shared" si="38"/>
        <v>BEVERAGE</v>
      </c>
      <c r="G1105" s="18" t="s">
        <v>54</v>
      </c>
      <c r="H1105" s="4" t="str">
        <f t="shared" si="3"/>
        <v>24/CASE</v>
      </c>
      <c r="I1105" s="4">
        <v>24.0</v>
      </c>
      <c r="J1105" s="3" t="s">
        <v>2156</v>
      </c>
      <c r="K1105" s="16">
        <v>1071.43</v>
      </c>
      <c r="L1105" s="16"/>
    </row>
    <row r="1106" ht="15.75" customHeight="1">
      <c r="A1106" s="17" t="s">
        <v>16</v>
      </c>
      <c r="C1106" s="4" t="s">
        <v>2211</v>
      </c>
      <c r="D1106" s="4" t="s">
        <v>2212</v>
      </c>
      <c r="E1106" s="4"/>
      <c r="F1106" s="18" t="str">
        <f t="shared" si="38"/>
        <v>BEVERAGE</v>
      </c>
      <c r="G1106" s="18" t="s">
        <v>54</v>
      </c>
      <c r="H1106" s="4" t="str">
        <f t="shared" si="3"/>
        <v>24/Case</v>
      </c>
      <c r="I1106" s="4">
        <v>24.0</v>
      </c>
      <c r="J1106" s="3" t="s">
        <v>2082</v>
      </c>
      <c r="K1106" s="16">
        <v>806.2499999999999</v>
      </c>
      <c r="L1106" s="16"/>
    </row>
    <row r="1107" ht="15.75" customHeight="1">
      <c r="A1107" s="17" t="s">
        <v>16</v>
      </c>
      <c r="C1107" s="4" t="s">
        <v>2213</v>
      </c>
      <c r="D1107" s="4" t="s">
        <v>2214</v>
      </c>
      <c r="E1107" s="4"/>
      <c r="F1107" s="18" t="str">
        <f t="shared" si="38"/>
        <v>BEVERAGE</v>
      </c>
      <c r="G1107" s="18" t="s">
        <v>54</v>
      </c>
      <c r="H1107" s="4" t="str">
        <f t="shared" si="3"/>
        <v>24/Case</v>
      </c>
      <c r="I1107" s="4">
        <v>24.0</v>
      </c>
      <c r="J1107" s="3" t="s">
        <v>2082</v>
      </c>
      <c r="K1107" s="16">
        <v>689.2857142857142</v>
      </c>
      <c r="L1107" s="16"/>
    </row>
    <row r="1108" ht="15.75" customHeight="1">
      <c r="A1108" s="17" t="s">
        <v>16</v>
      </c>
      <c r="C1108" s="4" t="s">
        <v>2215</v>
      </c>
      <c r="D1108" s="4" t="s">
        <v>2216</v>
      </c>
      <c r="E1108" s="4"/>
      <c r="F1108" s="18" t="str">
        <f t="shared" si="38"/>
        <v>BEVERAGE</v>
      </c>
      <c r="G1108" s="18" t="s">
        <v>54</v>
      </c>
      <c r="H1108" s="4" t="str">
        <f t="shared" si="3"/>
        <v>24/Case</v>
      </c>
      <c r="I1108" s="4">
        <v>24.0</v>
      </c>
      <c r="J1108" s="3" t="s">
        <v>2082</v>
      </c>
      <c r="K1108" s="16">
        <v>963.6363636363636</v>
      </c>
      <c r="L1108" s="16"/>
    </row>
    <row r="1109" ht="15.75" customHeight="1">
      <c r="A1109" s="17" t="s">
        <v>16</v>
      </c>
      <c r="C1109" s="4" t="s">
        <v>2217</v>
      </c>
      <c r="D1109" s="4" t="s">
        <v>2218</v>
      </c>
      <c r="E1109" s="4"/>
      <c r="F1109" s="18" t="str">
        <f t="shared" si="38"/>
        <v>BEVERAGE</v>
      </c>
      <c r="G1109" s="18" t="s">
        <v>54</v>
      </c>
      <c r="H1109" s="4" t="str">
        <f t="shared" si="3"/>
        <v>100/PACK</v>
      </c>
      <c r="I1109" s="4">
        <v>100.0</v>
      </c>
      <c r="J1109" s="3" t="s">
        <v>23</v>
      </c>
      <c r="K1109" s="16">
        <v>196.38437499999995</v>
      </c>
      <c r="L1109" s="16"/>
    </row>
    <row r="1110" ht="15.75" customHeight="1">
      <c r="A1110" s="17" t="s">
        <v>16</v>
      </c>
      <c r="C1110" s="4" t="s">
        <v>2219</v>
      </c>
      <c r="D1110" s="4" t="s">
        <v>2220</v>
      </c>
      <c r="E1110" s="4"/>
      <c r="F1110" s="18" t="str">
        <f t="shared" si="38"/>
        <v>BEVERAGE</v>
      </c>
      <c r="G1110" s="18" t="s">
        <v>54</v>
      </c>
      <c r="H1110" s="4" t="str">
        <f t="shared" si="3"/>
        <v>10/Pack</v>
      </c>
      <c r="I1110" s="4">
        <v>10.0</v>
      </c>
      <c r="J1110" s="3" t="s">
        <v>441</v>
      </c>
      <c r="K1110" s="16">
        <v>97.77</v>
      </c>
      <c r="L1110" s="16"/>
    </row>
    <row r="1111" ht="15.75" customHeight="1">
      <c r="A1111" s="17" t="s">
        <v>16</v>
      </c>
      <c r="C1111" s="4" t="s">
        <v>2221</v>
      </c>
      <c r="D1111" s="4" t="s">
        <v>2222</v>
      </c>
      <c r="E1111" s="4"/>
      <c r="F1111" s="18" t="str">
        <f t="shared" si="38"/>
        <v>BEVERAGE</v>
      </c>
      <c r="G1111" s="18" t="s">
        <v>54</v>
      </c>
      <c r="H1111" s="4" t="str">
        <f t="shared" si="3"/>
        <v>50/Bag</v>
      </c>
      <c r="I1111" s="18">
        <v>50.0</v>
      </c>
      <c r="J1111" s="19" t="s">
        <v>2159</v>
      </c>
      <c r="K1111" s="16">
        <v>813.54</v>
      </c>
      <c r="L1111" s="16"/>
    </row>
    <row r="1112" ht="15.75" customHeight="1">
      <c r="A1112" s="17" t="s">
        <v>16</v>
      </c>
      <c r="C1112" s="4" t="s">
        <v>2223</v>
      </c>
      <c r="D1112" s="4" t="s">
        <v>2224</v>
      </c>
      <c r="E1112" s="4"/>
      <c r="F1112" s="18" t="str">
        <f t="shared" si="38"/>
        <v>BEVERAGE</v>
      </c>
      <c r="G1112" s="18" t="s">
        <v>54</v>
      </c>
      <c r="H1112" s="4" t="str">
        <f t="shared" si="3"/>
        <v>50/Bag</v>
      </c>
      <c r="I1112" s="18">
        <v>50.0</v>
      </c>
      <c r="J1112" s="19" t="s">
        <v>2159</v>
      </c>
      <c r="K1112" s="16">
        <v>672.06</v>
      </c>
      <c r="L1112" s="16"/>
    </row>
    <row r="1113" ht="15.75" customHeight="1">
      <c r="A1113" s="17" t="s">
        <v>16</v>
      </c>
      <c r="C1113" s="4" t="s">
        <v>2225</v>
      </c>
      <c r="D1113" s="4" t="s">
        <v>2226</v>
      </c>
      <c r="E1113" s="4"/>
      <c r="F1113" s="18" t="str">
        <f t="shared" si="38"/>
        <v>BEVERAGE</v>
      </c>
      <c r="G1113" s="18" t="s">
        <v>54</v>
      </c>
      <c r="H1113" s="4" t="str">
        <f t="shared" si="3"/>
        <v>11400/Case</v>
      </c>
      <c r="I1113" s="4">
        <v>11400.0</v>
      </c>
      <c r="J1113" s="3" t="s">
        <v>2082</v>
      </c>
      <c r="K1113" s="16">
        <v>2067.86</v>
      </c>
      <c r="L1113" s="16"/>
    </row>
    <row r="1114" ht="15.75" customHeight="1">
      <c r="A1114" s="17" t="s">
        <v>16</v>
      </c>
      <c r="C1114" s="4" t="s">
        <v>2227</v>
      </c>
      <c r="D1114" s="4" t="s">
        <v>2228</v>
      </c>
      <c r="E1114" s="4"/>
      <c r="F1114" s="18" t="str">
        <f t="shared" si="38"/>
        <v>BEVERAGE</v>
      </c>
      <c r="G1114" s="18" t="s">
        <v>54</v>
      </c>
      <c r="H1114" s="4" t="str">
        <f t="shared" si="3"/>
        <v>1000/Pack</v>
      </c>
      <c r="I1114" s="4">
        <v>1000.0</v>
      </c>
      <c r="J1114" s="3" t="s">
        <v>441</v>
      </c>
      <c r="K1114" s="16">
        <v>681.8452380952381</v>
      </c>
      <c r="L1114" s="16"/>
    </row>
    <row r="1115" ht="15.75" customHeight="1">
      <c r="A1115" s="17" t="s">
        <v>16</v>
      </c>
      <c r="C1115" s="4" t="s">
        <v>2229</v>
      </c>
      <c r="D1115" s="21" t="s">
        <v>2230</v>
      </c>
      <c r="E1115" s="21"/>
      <c r="F1115" s="18" t="str">
        <f t="shared" si="38"/>
        <v>BEVERAGE</v>
      </c>
      <c r="G1115" s="18" t="s">
        <v>54</v>
      </c>
      <c r="H1115" s="4" t="str">
        <f t="shared" si="3"/>
        <v>1000/Bag</v>
      </c>
      <c r="I1115" s="4">
        <v>1000.0</v>
      </c>
      <c r="J1115" s="3" t="s">
        <v>2159</v>
      </c>
      <c r="K1115" s="16">
        <v>1055.23</v>
      </c>
      <c r="L1115" s="16"/>
    </row>
    <row r="1116" ht="15.75" customHeight="1">
      <c r="A1116" s="17" t="s">
        <v>16</v>
      </c>
      <c r="C1116" s="4" t="s">
        <v>2231</v>
      </c>
      <c r="D1116" s="4" t="s">
        <v>2232</v>
      </c>
      <c r="E1116" s="4"/>
      <c r="F1116" s="18" t="str">
        <f t="shared" si="38"/>
        <v>BEVERAGE</v>
      </c>
      <c r="G1116" s="18" t="s">
        <v>54</v>
      </c>
      <c r="H1116" s="4" t="str">
        <f t="shared" si="3"/>
        <v>750/Bottle</v>
      </c>
      <c r="I1116" s="4">
        <v>750.0</v>
      </c>
      <c r="J1116" s="3" t="s">
        <v>2079</v>
      </c>
      <c r="K1116" s="16">
        <v>413.5338345864662</v>
      </c>
      <c r="L1116" s="16"/>
    </row>
    <row r="1117" ht="15.75" customHeight="1">
      <c r="A1117" s="17" t="s">
        <v>16</v>
      </c>
      <c r="C1117" s="4" t="s">
        <v>2233</v>
      </c>
      <c r="D1117" s="4" t="s">
        <v>2234</v>
      </c>
      <c r="E1117" s="4"/>
      <c r="F1117" s="18" t="str">
        <f t="shared" si="38"/>
        <v>BEVERAGE</v>
      </c>
      <c r="G1117" s="18" t="s">
        <v>54</v>
      </c>
      <c r="H1117" s="4" t="str">
        <f t="shared" si="3"/>
        <v>1000/tetra</v>
      </c>
      <c r="I1117" s="4">
        <v>1000.0</v>
      </c>
      <c r="J1117" s="3" t="s">
        <v>2235</v>
      </c>
      <c r="K1117" s="16">
        <v>49.0</v>
      </c>
      <c r="L1117" s="16"/>
    </row>
    <row r="1118" ht="15.75" customHeight="1">
      <c r="A1118" s="17" t="s">
        <v>16</v>
      </c>
      <c r="C1118" s="4" t="s">
        <v>2236</v>
      </c>
      <c r="D1118" s="4" t="s">
        <v>2237</v>
      </c>
      <c r="E1118" s="4"/>
      <c r="F1118" s="18" t="str">
        <f t="shared" si="38"/>
        <v>FOOD</v>
      </c>
      <c r="G1118" s="18" t="s">
        <v>19</v>
      </c>
      <c r="H1118" s="4" t="str">
        <f t="shared" si="3"/>
        <v>1000/tetra</v>
      </c>
      <c r="I1118" s="4">
        <v>1000.0</v>
      </c>
      <c r="J1118" s="3" t="s">
        <v>2235</v>
      </c>
      <c r="K1118" s="16">
        <v>68.53</v>
      </c>
      <c r="L1118" s="16"/>
    </row>
    <row r="1119" ht="15.75" customHeight="1">
      <c r="A1119" s="17" t="s">
        <v>16</v>
      </c>
      <c r="C1119" s="4" t="s">
        <v>2238</v>
      </c>
      <c r="D1119" s="4" t="s">
        <v>2239</v>
      </c>
      <c r="E1119" s="4"/>
      <c r="F1119" s="18" t="str">
        <f t="shared" si="38"/>
        <v>BEVERAGE</v>
      </c>
      <c r="G1119" s="18" t="s">
        <v>54</v>
      </c>
      <c r="H1119" s="4" t="str">
        <f t="shared" si="3"/>
        <v>2000/bot</v>
      </c>
      <c r="I1119" s="4">
        <v>2000.0</v>
      </c>
      <c r="J1119" s="3" t="s">
        <v>2240</v>
      </c>
      <c r="K1119" s="16">
        <v>58.04</v>
      </c>
      <c r="L1119" s="16"/>
    </row>
    <row r="1120" ht="15.75" customHeight="1">
      <c r="A1120" s="17" t="s">
        <v>16</v>
      </c>
      <c r="C1120" s="4" t="s">
        <v>2241</v>
      </c>
      <c r="D1120" s="4" t="s">
        <v>2242</v>
      </c>
      <c r="E1120" s="4"/>
      <c r="F1120" s="18" t="str">
        <f t="shared" si="38"/>
        <v>FOOD</v>
      </c>
      <c r="G1120" s="18" t="s">
        <v>19</v>
      </c>
      <c r="H1120" s="4" t="str">
        <f t="shared" si="3"/>
        <v>1000/tetra</v>
      </c>
      <c r="I1120" s="18">
        <v>1000.0</v>
      </c>
      <c r="J1120" s="19" t="s">
        <v>2235</v>
      </c>
      <c r="K1120" s="16">
        <v>49.0</v>
      </c>
      <c r="L1120" s="16"/>
    </row>
    <row r="1121" ht="15.75" customHeight="1">
      <c r="A1121" s="17" t="s">
        <v>16</v>
      </c>
      <c r="C1121" s="4" t="s">
        <v>2243</v>
      </c>
      <c r="D1121" s="4" t="s">
        <v>2244</v>
      </c>
      <c r="E1121" s="4"/>
      <c r="F1121" s="18" t="str">
        <f t="shared" si="38"/>
        <v>BEVERAGE</v>
      </c>
      <c r="G1121" s="18" t="s">
        <v>54</v>
      </c>
      <c r="H1121" s="4" t="str">
        <f t="shared" si="3"/>
        <v>750/Bottle</v>
      </c>
      <c r="I1121" s="18">
        <v>750.0</v>
      </c>
      <c r="J1121" s="19" t="s">
        <v>2079</v>
      </c>
      <c r="K1121" s="16">
        <v>446.43</v>
      </c>
      <c r="L1121" s="16"/>
    </row>
    <row r="1122" ht="15.75" customHeight="1">
      <c r="A1122" s="17" t="s">
        <v>16</v>
      </c>
      <c r="C1122" s="4" t="s">
        <v>2245</v>
      </c>
      <c r="D1122" s="4" t="s">
        <v>2246</v>
      </c>
      <c r="E1122" s="4"/>
      <c r="F1122" s="18" t="str">
        <f t="shared" si="38"/>
        <v>BEVERAGE</v>
      </c>
      <c r="G1122" s="18" t="s">
        <v>54</v>
      </c>
      <c r="H1122" s="4" t="str">
        <f t="shared" si="3"/>
        <v>750/Bottle</v>
      </c>
      <c r="I1122" s="18">
        <v>750.0</v>
      </c>
      <c r="J1122" s="19" t="s">
        <v>2079</v>
      </c>
      <c r="K1122" s="16">
        <v>401.7857142857142</v>
      </c>
      <c r="L1122" s="16"/>
    </row>
    <row r="1123" ht="15.75" customHeight="1">
      <c r="A1123" s="17" t="s">
        <v>16</v>
      </c>
      <c r="C1123" s="4" t="s">
        <v>2247</v>
      </c>
      <c r="D1123" s="4" t="s">
        <v>2248</v>
      </c>
      <c r="E1123" s="4"/>
      <c r="F1123" s="18" t="str">
        <f t="shared" si="38"/>
        <v>BEVERAGE</v>
      </c>
      <c r="G1123" s="18" t="s">
        <v>54</v>
      </c>
      <c r="H1123" s="4" t="str">
        <f t="shared" si="3"/>
        <v>750/Bottle</v>
      </c>
      <c r="I1123" s="4">
        <v>750.0</v>
      </c>
      <c r="J1123" s="3" t="s">
        <v>2079</v>
      </c>
      <c r="K1123" s="16">
        <v>848.2142857142857</v>
      </c>
      <c r="L1123" s="16"/>
    </row>
    <row r="1124" ht="15.75" customHeight="1">
      <c r="A1124" s="17" t="s">
        <v>16</v>
      </c>
      <c r="C1124" s="4" t="s">
        <v>2249</v>
      </c>
      <c r="D1124" s="4" t="s">
        <v>2250</v>
      </c>
      <c r="E1124" s="4"/>
      <c r="F1124" s="18" t="str">
        <f t="shared" si="38"/>
        <v>BEVERAGE</v>
      </c>
      <c r="G1124" s="18" t="s">
        <v>54</v>
      </c>
      <c r="H1124" s="4" t="str">
        <f t="shared" si="3"/>
        <v>750/Bottle</v>
      </c>
      <c r="I1124" s="4">
        <v>750.0</v>
      </c>
      <c r="J1124" s="3" t="s">
        <v>2079</v>
      </c>
      <c r="K1124" s="16">
        <v>482.1428571428571</v>
      </c>
      <c r="L1124" s="16"/>
    </row>
    <row r="1125" ht="15.75" customHeight="1">
      <c r="A1125" s="17" t="s">
        <v>16</v>
      </c>
      <c r="C1125" s="4" t="s">
        <v>2251</v>
      </c>
      <c r="D1125" s="4" t="s">
        <v>2252</v>
      </c>
      <c r="E1125" s="4"/>
      <c r="F1125" s="18" t="str">
        <f t="shared" si="38"/>
        <v>BEVERAGE</v>
      </c>
      <c r="G1125" s="18" t="s">
        <v>54</v>
      </c>
      <c r="H1125" s="4" t="str">
        <f t="shared" si="3"/>
        <v>750/Bottle</v>
      </c>
      <c r="I1125" s="4">
        <v>750.0</v>
      </c>
      <c r="J1125" s="3" t="s">
        <v>2079</v>
      </c>
      <c r="K1125" s="16">
        <v>624.9999999999999</v>
      </c>
      <c r="L1125" s="16"/>
    </row>
    <row r="1126" ht="15.75" customHeight="1">
      <c r="A1126" s="17" t="s">
        <v>16</v>
      </c>
      <c r="C1126" s="4" t="s">
        <v>2253</v>
      </c>
      <c r="D1126" s="4" t="s">
        <v>2254</v>
      </c>
      <c r="E1126" s="4"/>
      <c r="F1126" s="18" t="str">
        <f t="shared" si="38"/>
        <v>BEVERAGE</v>
      </c>
      <c r="G1126" s="18" t="s">
        <v>54</v>
      </c>
      <c r="H1126" s="4" t="str">
        <f t="shared" si="3"/>
        <v>750/bottle</v>
      </c>
      <c r="I1126" s="18">
        <v>750.0</v>
      </c>
      <c r="J1126" s="19" t="s">
        <v>2255</v>
      </c>
      <c r="K1126" s="16">
        <v>451.1263157894737</v>
      </c>
      <c r="L1126" s="16"/>
    </row>
    <row r="1127" ht="15.75" customHeight="1">
      <c r="A1127" s="17" t="s">
        <v>16</v>
      </c>
      <c r="C1127" s="4" t="s">
        <v>2256</v>
      </c>
      <c r="D1127" s="4" t="s">
        <v>2257</v>
      </c>
      <c r="E1127" s="4"/>
      <c r="F1127" s="18" t="str">
        <f t="shared" si="38"/>
        <v>BEVERAGE</v>
      </c>
      <c r="G1127" s="18" t="s">
        <v>54</v>
      </c>
      <c r="H1127" s="4" t="str">
        <f t="shared" si="3"/>
        <v>750/bottle</v>
      </c>
      <c r="I1127" s="18">
        <v>750.0</v>
      </c>
      <c r="J1127" s="19" t="s">
        <v>2255</v>
      </c>
      <c r="K1127" s="16">
        <v>413.5338345864662</v>
      </c>
      <c r="L1127" s="16"/>
    </row>
    <row r="1128" ht="15.75" customHeight="1">
      <c r="C1128" s="4"/>
      <c r="D1128" s="2"/>
      <c r="E1128" s="2"/>
      <c r="F1128" s="18"/>
      <c r="G1128" s="18"/>
      <c r="H1128" s="4" t="str">
        <f t="shared" si="3"/>
        <v>/</v>
      </c>
      <c r="I1128" s="4"/>
      <c r="J1128" s="3"/>
      <c r="K1128" s="16"/>
      <c r="L1128" s="16"/>
    </row>
    <row r="1129" ht="15.75" customHeight="1">
      <c r="A1129" s="2" t="s">
        <v>2258</v>
      </c>
      <c r="C1129" s="4"/>
      <c r="F1129" s="18"/>
      <c r="G1129" s="18"/>
      <c r="H1129" s="4" t="str">
        <f t="shared" si="3"/>
        <v>/</v>
      </c>
      <c r="I1129" s="4"/>
      <c r="J1129" s="3"/>
      <c r="K1129" s="16"/>
      <c r="L1129" s="16"/>
    </row>
    <row r="1130" ht="15.75" customHeight="1">
      <c r="A1130" s="17" t="s">
        <v>2037</v>
      </c>
      <c r="C1130" s="4" t="s">
        <v>2259</v>
      </c>
      <c r="D1130" s="4" t="s">
        <v>2260</v>
      </c>
      <c r="E1130" s="4"/>
      <c r="F1130" s="18" t="str">
        <f t="shared" ref="F1130:F1133" si="39">G1130</f>
        <v>RETAIL</v>
      </c>
      <c r="G1130" s="18" t="s">
        <v>2261</v>
      </c>
      <c r="H1130" s="4" t="str">
        <f t="shared" si="3"/>
        <v>1/PC</v>
      </c>
      <c r="I1130" s="4">
        <v>1.0</v>
      </c>
      <c r="J1130" s="3" t="s">
        <v>42</v>
      </c>
      <c r="K1130" s="16">
        <v>71.43</v>
      </c>
      <c r="L1130" s="16"/>
    </row>
    <row r="1131" ht="15.75" customHeight="1">
      <c r="A1131" s="17" t="s">
        <v>2037</v>
      </c>
      <c r="C1131" s="4" t="s">
        <v>2262</v>
      </c>
      <c r="D1131" s="4" t="s">
        <v>2263</v>
      </c>
      <c r="E1131" s="4"/>
      <c r="F1131" s="18" t="str">
        <f t="shared" si="39"/>
        <v>RETAIL</v>
      </c>
      <c r="G1131" s="18" t="s">
        <v>2261</v>
      </c>
      <c r="H1131" s="4" t="str">
        <f t="shared" si="3"/>
        <v>1/PC</v>
      </c>
      <c r="I1131" s="4">
        <v>1.0</v>
      </c>
      <c r="J1131" s="3" t="s">
        <v>42</v>
      </c>
      <c r="K1131" s="16">
        <v>71.43</v>
      </c>
      <c r="L1131" s="16"/>
    </row>
    <row r="1132" ht="15.75" customHeight="1">
      <c r="A1132" s="17" t="s">
        <v>16</v>
      </c>
      <c r="C1132" s="4" t="s">
        <v>2264</v>
      </c>
      <c r="D1132" s="4" t="s">
        <v>2265</v>
      </c>
      <c r="E1132" s="4"/>
      <c r="F1132" s="18" t="str">
        <f t="shared" si="39"/>
        <v>RETAIL</v>
      </c>
      <c r="G1132" s="18" t="s">
        <v>2261</v>
      </c>
      <c r="H1132" s="4" t="str">
        <f t="shared" si="3"/>
        <v>12/case</v>
      </c>
      <c r="I1132" s="4">
        <v>12.0</v>
      </c>
      <c r="J1132" s="3" t="s">
        <v>2266</v>
      </c>
      <c r="K1132" s="16">
        <v>1277.14</v>
      </c>
      <c r="L1132" s="16"/>
    </row>
    <row r="1133" ht="15.75" customHeight="1">
      <c r="A1133" s="17" t="s">
        <v>16</v>
      </c>
      <c r="C1133" s="4" t="s">
        <v>2267</v>
      </c>
      <c r="D1133" s="4" t="s">
        <v>2268</v>
      </c>
      <c r="E1133" s="4"/>
      <c r="F1133" s="18" t="str">
        <f t="shared" si="39"/>
        <v>RETAIL</v>
      </c>
      <c r="G1133" s="18" t="s">
        <v>2261</v>
      </c>
      <c r="H1133" s="4" t="str">
        <f t="shared" si="3"/>
        <v>12/case</v>
      </c>
      <c r="I1133" s="4">
        <v>12.0</v>
      </c>
      <c r="J1133" s="3" t="s">
        <v>2266</v>
      </c>
      <c r="K1133" s="16">
        <v>1277.14</v>
      </c>
      <c r="L1133" s="16"/>
    </row>
    <row r="1134" ht="15.75" customHeight="1">
      <c r="A1134" s="17" t="s">
        <v>2037</v>
      </c>
      <c r="C1134" s="4" t="s">
        <v>2269</v>
      </c>
      <c r="D1134" s="4" t="s">
        <v>2270</v>
      </c>
      <c r="E1134" s="4"/>
      <c r="F1134" s="18" t="s">
        <v>2261</v>
      </c>
      <c r="G1134" s="18" t="s">
        <v>2261</v>
      </c>
      <c r="H1134" s="4" t="str">
        <f t="shared" si="3"/>
        <v>1/PC</v>
      </c>
      <c r="I1134" s="18">
        <v>1.0</v>
      </c>
      <c r="J1134" s="19" t="s">
        <v>42</v>
      </c>
      <c r="K1134" s="16">
        <v>301.34</v>
      </c>
      <c r="L1134" s="16"/>
    </row>
    <row r="1135" ht="15.75" customHeight="1">
      <c r="A1135" s="17" t="s">
        <v>2037</v>
      </c>
      <c r="C1135" s="4" t="s">
        <v>2271</v>
      </c>
      <c r="D1135" s="4" t="s">
        <v>2272</v>
      </c>
      <c r="E1135" s="4"/>
      <c r="F1135" s="18" t="str">
        <f t="shared" ref="F1135:F1138" si="40">G1135</f>
        <v>RETAIL</v>
      </c>
      <c r="G1135" s="18" t="s">
        <v>2261</v>
      </c>
      <c r="H1135" s="4" t="str">
        <f t="shared" si="3"/>
        <v>1/Set</v>
      </c>
      <c r="I1135" s="4">
        <v>1.0</v>
      </c>
      <c r="J1135" s="3" t="s">
        <v>2273</v>
      </c>
      <c r="K1135" s="16">
        <v>261.65</v>
      </c>
      <c r="L1135" s="16"/>
    </row>
    <row r="1136" ht="15.75" customHeight="1">
      <c r="A1136" s="17" t="s">
        <v>2037</v>
      </c>
      <c r="C1136" s="4" t="s">
        <v>2274</v>
      </c>
      <c r="D1136" s="4" t="s">
        <v>2275</v>
      </c>
      <c r="E1136" s="4"/>
      <c r="F1136" s="18" t="str">
        <f t="shared" si="40"/>
        <v>RETAIL</v>
      </c>
      <c r="G1136" s="18" t="s">
        <v>2261</v>
      </c>
      <c r="H1136" s="4" t="str">
        <f t="shared" si="3"/>
        <v>60/tin</v>
      </c>
      <c r="I1136" s="4">
        <v>60.0</v>
      </c>
      <c r="J1136" s="3" t="s">
        <v>2276</v>
      </c>
      <c r="K1136" s="16">
        <v>213.87</v>
      </c>
      <c r="L1136" s="16"/>
    </row>
    <row r="1137" ht="15.75" customHeight="1">
      <c r="A1137" s="17" t="s">
        <v>2037</v>
      </c>
      <c r="C1137" s="4" t="s">
        <v>2277</v>
      </c>
      <c r="D1137" s="4" t="s">
        <v>2278</v>
      </c>
      <c r="E1137" s="4"/>
      <c r="F1137" s="18" t="str">
        <f t="shared" si="40"/>
        <v>RETAIL</v>
      </c>
      <c r="G1137" s="18" t="s">
        <v>2261</v>
      </c>
      <c r="H1137" s="4" t="str">
        <f t="shared" si="3"/>
        <v>4/TIN</v>
      </c>
      <c r="I1137" s="4">
        <v>4.0</v>
      </c>
      <c r="J1137" s="3" t="s">
        <v>2279</v>
      </c>
      <c r="K1137" s="16">
        <v>248.4472049689441</v>
      </c>
      <c r="L1137" s="16"/>
    </row>
    <row r="1138" ht="15.75" customHeight="1">
      <c r="A1138" s="17" t="s">
        <v>2037</v>
      </c>
      <c r="C1138" s="4" t="s">
        <v>2280</v>
      </c>
      <c r="D1138" s="4" t="s">
        <v>2281</v>
      </c>
      <c r="E1138" s="4"/>
      <c r="F1138" s="18" t="str">
        <f t="shared" si="40"/>
        <v>RETAIL</v>
      </c>
      <c r="G1138" s="18" t="s">
        <v>2261</v>
      </c>
      <c r="H1138" s="4" t="str">
        <f t="shared" si="3"/>
        <v>60/tin</v>
      </c>
      <c r="I1138" s="4">
        <v>60.0</v>
      </c>
      <c r="J1138" s="3" t="s">
        <v>2276</v>
      </c>
      <c r="K1138" s="16">
        <v>203.66</v>
      </c>
      <c r="L1138" s="16"/>
    </row>
    <row r="1139" ht="15.75" customHeight="1">
      <c r="C1139" s="4"/>
      <c r="D1139" s="2"/>
      <c r="E1139" s="2"/>
      <c r="F1139" s="18"/>
      <c r="G1139" s="18"/>
      <c r="H1139" s="4" t="str">
        <f t="shared" si="3"/>
        <v>/</v>
      </c>
      <c r="I1139" s="4"/>
      <c r="J1139" s="3"/>
      <c r="K1139" s="16"/>
      <c r="L1139" s="16"/>
    </row>
    <row r="1140" ht="15.75" customHeight="1">
      <c r="A1140" s="2" t="s">
        <v>2282</v>
      </c>
      <c r="C1140" s="4" t="s">
        <v>2283</v>
      </c>
      <c r="F1140" s="18"/>
      <c r="G1140" s="18"/>
      <c r="H1140" s="4" t="str">
        <f t="shared" si="3"/>
        <v>/</v>
      </c>
      <c r="I1140" s="4"/>
      <c r="J1140" s="3"/>
      <c r="K1140" s="16"/>
      <c r="L1140" s="16"/>
    </row>
    <row r="1141" ht="15.75" customHeight="1">
      <c r="A1141" s="17" t="s">
        <v>16</v>
      </c>
      <c r="C1141" s="4" t="s">
        <v>2284</v>
      </c>
      <c r="D1141" s="4" t="s">
        <v>2285</v>
      </c>
      <c r="E1141" s="4"/>
      <c r="F1141" s="18" t="str">
        <f t="shared" ref="F1141:F1171" si="41">G1141</f>
        <v>RETAIL</v>
      </c>
      <c r="G1141" s="18" t="s">
        <v>2261</v>
      </c>
      <c r="H1141" s="4" t="str">
        <f t="shared" si="3"/>
        <v>1/PC</v>
      </c>
      <c r="I1141" s="4">
        <v>1.0</v>
      </c>
      <c r="J1141" s="3" t="s">
        <v>42</v>
      </c>
      <c r="K1141" s="16">
        <v>225.0</v>
      </c>
      <c r="L1141" s="16"/>
    </row>
    <row r="1142" ht="15.75" customHeight="1">
      <c r="A1142" s="17" t="s">
        <v>16</v>
      </c>
      <c r="C1142" s="4" t="s">
        <v>2286</v>
      </c>
      <c r="D1142" s="4" t="s">
        <v>2287</v>
      </c>
      <c r="E1142" s="4"/>
      <c r="F1142" s="18" t="str">
        <f t="shared" si="41"/>
        <v>RETAIL</v>
      </c>
      <c r="G1142" s="18" t="s">
        <v>2261</v>
      </c>
      <c r="H1142" s="4" t="str">
        <f t="shared" si="3"/>
        <v>1/PC</v>
      </c>
      <c r="I1142" s="4">
        <v>1.0</v>
      </c>
      <c r="J1142" s="3" t="s">
        <v>42</v>
      </c>
      <c r="K1142" s="16">
        <v>325.0</v>
      </c>
      <c r="L1142" s="16"/>
    </row>
    <row r="1143" ht="15.75" customHeight="1">
      <c r="A1143" s="17" t="s">
        <v>16</v>
      </c>
      <c r="C1143" s="4" t="s">
        <v>2288</v>
      </c>
      <c r="D1143" s="4" t="s">
        <v>2289</v>
      </c>
      <c r="E1143" s="4"/>
      <c r="F1143" s="18" t="str">
        <f t="shared" si="41"/>
        <v>RETAIL</v>
      </c>
      <c r="G1143" s="18" t="s">
        <v>2261</v>
      </c>
      <c r="H1143" s="4" t="str">
        <f t="shared" si="3"/>
        <v>1/PC</v>
      </c>
      <c r="I1143" s="4">
        <v>1.0</v>
      </c>
      <c r="J1143" s="3" t="s">
        <v>42</v>
      </c>
      <c r="K1143" s="16">
        <v>237.5</v>
      </c>
      <c r="L1143" s="16"/>
    </row>
    <row r="1144" ht="15.75" customHeight="1">
      <c r="A1144" s="17" t="s">
        <v>16</v>
      </c>
      <c r="C1144" s="4" t="s">
        <v>2290</v>
      </c>
      <c r="D1144" s="4" t="s">
        <v>2291</v>
      </c>
      <c r="E1144" s="4"/>
      <c r="F1144" s="18" t="str">
        <f t="shared" si="41"/>
        <v>RETAIL</v>
      </c>
      <c r="G1144" s="18" t="s">
        <v>2261</v>
      </c>
      <c r="H1144" s="4" t="str">
        <f t="shared" si="3"/>
        <v>1/PC</v>
      </c>
      <c r="I1144" s="4">
        <v>1.0</v>
      </c>
      <c r="J1144" s="3" t="s">
        <v>42</v>
      </c>
      <c r="K1144" s="16">
        <v>150.0</v>
      </c>
      <c r="L1144" s="16"/>
    </row>
    <row r="1145" ht="15.75" customHeight="1">
      <c r="A1145" s="17" t="s">
        <v>16</v>
      </c>
      <c r="C1145" s="4" t="s">
        <v>2292</v>
      </c>
      <c r="D1145" s="4" t="s">
        <v>2293</v>
      </c>
      <c r="E1145" s="4"/>
      <c r="F1145" s="18" t="str">
        <f t="shared" si="41"/>
        <v>RETAIL</v>
      </c>
      <c r="G1145" s="18" t="s">
        <v>2261</v>
      </c>
      <c r="H1145" s="4" t="str">
        <f t="shared" si="3"/>
        <v>1/PC</v>
      </c>
      <c r="I1145" s="4">
        <v>1.0</v>
      </c>
      <c r="J1145" s="3" t="s">
        <v>42</v>
      </c>
      <c r="K1145" s="16">
        <v>206.25</v>
      </c>
      <c r="L1145" s="16"/>
    </row>
    <row r="1146" ht="15.75" customHeight="1">
      <c r="A1146" s="17" t="s">
        <v>16</v>
      </c>
      <c r="C1146" s="4" t="s">
        <v>2294</v>
      </c>
      <c r="D1146" s="4" t="s">
        <v>2295</v>
      </c>
      <c r="E1146" s="4"/>
      <c r="F1146" s="18" t="str">
        <f t="shared" si="41"/>
        <v>RETAIL</v>
      </c>
      <c r="G1146" s="18" t="s">
        <v>2261</v>
      </c>
      <c r="H1146" s="4" t="str">
        <f t="shared" si="3"/>
        <v>1/PC</v>
      </c>
      <c r="I1146" s="4">
        <v>1.0</v>
      </c>
      <c r="J1146" s="3" t="s">
        <v>42</v>
      </c>
      <c r="K1146" s="16">
        <v>101.25</v>
      </c>
      <c r="L1146" s="16"/>
    </row>
    <row r="1147" ht="15.75" customHeight="1">
      <c r="A1147" s="17" t="s">
        <v>16</v>
      </c>
      <c r="C1147" s="4" t="s">
        <v>2296</v>
      </c>
      <c r="D1147" s="4" t="s">
        <v>2297</v>
      </c>
      <c r="E1147" s="4"/>
      <c r="F1147" s="18" t="str">
        <f t="shared" si="41"/>
        <v>RETAIL</v>
      </c>
      <c r="G1147" s="18" t="s">
        <v>2261</v>
      </c>
      <c r="H1147" s="4" t="str">
        <f t="shared" si="3"/>
        <v>1/PC</v>
      </c>
      <c r="I1147" s="4">
        <v>1.0</v>
      </c>
      <c r="J1147" s="3" t="s">
        <v>42</v>
      </c>
      <c r="K1147" s="16">
        <v>202.5</v>
      </c>
      <c r="L1147" s="16"/>
    </row>
    <row r="1148" ht="15.75" customHeight="1">
      <c r="A1148" s="17" t="s">
        <v>16</v>
      </c>
      <c r="C1148" s="4" t="s">
        <v>2298</v>
      </c>
      <c r="D1148" s="4" t="s">
        <v>2299</v>
      </c>
      <c r="E1148" s="4"/>
      <c r="F1148" s="18" t="str">
        <f t="shared" si="41"/>
        <v>RETAIL</v>
      </c>
      <c r="G1148" s="18" t="s">
        <v>2261</v>
      </c>
      <c r="H1148" s="4" t="str">
        <f t="shared" si="3"/>
        <v>1/PC</v>
      </c>
      <c r="I1148" s="4">
        <v>1.0</v>
      </c>
      <c r="J1148" s="3" t="s">
        <v>42</v>
      </c>
      <c r="K1148" s="16">
        <v>160.71</v>
      </c>
      <c r="L1148" s="16"/>
    </row>
    <row r="1149" ht="15.75" customHeight="1">
      <c r="A1149" s="17" t="s">
        <v>16</v>
      </c>
      <c r="C1149" s="4" t="s">
        <v>2300</v>
      </c>
      <c r="D1149" s="4" t="s">
        <v>2301</v>
      </c>
      <c r="E1149" s="4"/>
      <c r="F1149" s="18" t="str">
        <f t="shared" si="41"/>
        <v>RETAIL</v>
      </c>
      <c r="G1149" s="18" t="s">
        <v>2261</v>
      </c>
      <c r="H1149" s="4" t="str">
        <f t="shared" si="3"/>
        <v>1/PC</v>
      </c>
      <c r="I1149" s="4">
        <v>1.0</v>
      </c>
      <c r="J1149" s="3" t="s">
        <v>42</v>
      </c>
      <c r="K1149" s="16">
        <v>264.38</v>
      </c>
      <c r="L1149" s="16"/>
    </row>
    <row r="1150" ht="15.75" customHeight="1">
      <c r="A1150" s="17" t="s">
        <v>16</v>
      </c>
      <c r="C1150" s="4" t="s">
        <v>2302</v>
      </c>
      <c r="D1150" s="4" t="s">
        <v>2303</v>
      </c>
      <c r="E1150" s="4"/>
      <c r="F1150" s="18" t="str">
        <f t="shared" si="41"/>
        <v>RETAIL</v>
      </c>
      <c r="G1150" s="18" t="s">
        <v>2261</v>
      </c>
      <c r="H1150" s="4" t="str">
        <f t="shared" si="3"/>
        <v>1/PC</v>
      </c>
      <c r="I1150" s="4">
        <v>1.0</v>
      </c>
      <c r="J1150" s="3" t="s">
        <v>42</v>
      </c>
      <c r="K1150" s="16">
        <v>331.25</v>
      </c>
      <c r="L1150" s="16"/>
    </row>
    <row r="1151" ht="15.75" customHeight="1">
      <c r="A1151" s="17" t="s">
        <v>16</v>
      </c>
      <c r="C1151" s="4" t="s">
        <v>2304</v>
      </c>
      <c r="D1151" s="4" t="s">
        <v>2305</v>
      </c>
      <c r="E1151" s="4"/>
      <c r="F1151" s="18" t="str">
        <f t="shared" si="41"/>
        <v>RETAIL</v>
      </c>
      <c r="G1151" s="18" t="s">
        <v>2261</v>
      </c>
      <c r="H1151" s="4" t="str">
        <f t="shared" si="3"/>
        <v>1/PC</v>
      </c>
      <c r="I1151" s="4">
        <v>1.0</v>
      </c>
      <c r="J1151" s="3" t="s">
        <v>42</v>
      </c>
      <c r="K1151" s="16">
        <v>210.0</v>
      </c>
      <c r="L1151" s="16"/>
    </row>
    <row r="1152" ht="15.75" customHeight="1">
      <c r="A1152" s="17" t="s">
        <v>16</v>
      </c>
      <c r="C1152" s="4" t="s">
        <v>2306</v>
      </c>
      <c r="D1152" s="4" t="s">
        <v>2307</v>
      </c>
      <c r="E1152" s="4"/>
      <c r="F1152" s="18" t="str">
        <f t="shared" si="41"/>
        <v>RETAIL</v>
      </c>
      <c r="G1152" s="18" t="s">
        <v>2261</v>
      </c>
      <c r="H1152" s="4" t="str">
        <f t="shared" si="3"/>
        <v>1/PC</v>
      </c>
      <c r="I1152" s="4">
        <v>1.0</v>
      </c>
      <c r="J1152" s="3" t="s">
        <v>42</v>
      </c>
      <c r="K1152" s="16">
        <v>312.5</v>
      </c>
      <c r="L1152" s="16"/>
    </row>
    <row r="1153" ht="15.75" customHeight="1">
      <c r="A1153" s="17" t="s">
        <v>16</v>
      </c>
      <c r="C1153" s="4" t="s">
        <v>2308</v>
      </c>
      <c r="D1153" s="4" t="s">
        <v>2309</v>
      </c>
      <c r="E1153" s="4"/>
      <c r="F1153" s="18" t="str">
        <f t="shared" si="41"/>
        <v>RETAIL</v>
      </c>
      <c r="G1153" s="18" t="s">
        <v>2261</v>
      </c>
      <c r="H1153" s="4" t="str">
        <f t="shared" si="3"/>
        <v>1/PC</v>
      </c>
      <c r="I1153" s="4">
        <v>1.0</v>
      </c>
      <c r="J1153" s="3" t="s">
        <v>42</v>
      </c>
      <c r="K1153" s="16">
        <v>212.5</v>
      </c>
      <c r="L1153" s="16"/>
    </row>
    <row r="1154" ht="15.75" customHeight="1">
      <c r="A1154" s="17" t="s">
        <v>16</v>
      </c>
      <c r="C1154" s="4" t="s">
        <v>2310</v>
      </c>
      <c r="D1154" s="4" t="s">
        <v>2311</v>
      </c>
      <c r="E1154" s="4"/>
      <c r="F1154" s="18" t="str">
        <f t="shared" si="41"/>
        <v>RETAIL</v>
      </c>
      <c r="G1154" s="18" t="s">
        <v>2261</v>
      </c>
      <c r="H1154" s="4" t="str">
        <f t="shared" si="3"/>
        <v>1/PC</v>
      </c>
      <c r="I1154" s="4">
        <v>1.0</v>
      </c>
      <c r="J1154" s="3" t="s">
        <v>42</v>
      </c>
      <c r="K1154" s="16">
        <v>100.45</v>
      </c>
      <c r="L1154" s="16"/>
    </row>
    <row r="1155" ht="15.75" customHeight="1">
      <c r="A1155" s="17" t="s">
        <v>16</v>
      </c>
      <c r="C1155" s="4" t="s">
        <v>2312</v>
      </c>
      <c r="D1155" s="4" t="s">
        <v>2313</v>
      </c>
      <c r="E1155" s="4"/>
      <c r="F1155" s="18" t="str">
        <f t="shared" si="41"/>
        <v>RETAIL</v>
      </c>
      <c r="G1155" s="18" t="s">
        <v>2261</v>
      </c>
      <c r="H1155" s="4" t="str">
        <f t="shared" si="3"/>
        <v>1/PC</v>
      </c>
      <c r="I1155" s="4">
        <v>1.0</v>
      </c>
      <c r="J1155" s="3" t="s">
        <v>42</v>
      </c>
      <c r="K1155" s="16">
        <v>100.45</v>
      </c>
      <c r="L1155" s="16"/>
    </row>
    <row r="1156" ht="15.75" customHeight="1">
      <c r="A1156" s="17" t="s">
        <v>16</v>
      </c>
      <c r="C1156" s="4" t="s">
        <v>2314</v>
      </c>
      <c r="D1156" s="4" t="s">
        <v>2315</v>
      </c>
      <c r="E1156" s="4"/>
      <c r="F1156" s="18" t="str">
        <f t="shared" si="41"/>
        <v>RETAIL</v>
      </c>
      <c r="G1156" s="18" t="s">
        <v>2261</v>
      </c>
      <c r="H1156" s="4" t="str">
        <f t="shared" si="3"/>
        <v>1/PC</v>
      </c>
      <c r="I1156" s="4">
        <v>1.0</v>
      </c>
      <c r="J1156" s="3" t="s">
        <v>42</v>
      </c>
      <c r="K1156" s="16">
        <v>202.5</v>
      </c>
      <c r="L1156" s="16"/>
    </row>
    <row r="1157" ht="15.75" customHeight="1">
      <c r="A1157" s="17" t="s">
        <v>16</v>
      </c>
      <c r="C1157" s="4" t="s">
        <v>2316</v>
      </c>
      <c r="D1157" s="4" t="s">
        <v>2317</v>
      </c>
      <c r="E1157" s="4"/>
      <c r="F1157" s="18" t="str">
        <f t="shared" si="41"/>
        <v>RETAIL</v>
      </c>
      <c r="G1157" s="18" t="s">
        <v>2261</v>
      </c>
      <c r="H1157" s="4" t="str">
        <f t="shared" si="3"/>
        <v>1/PC</v>
      </c>
      <c r="I1157" s="4">
        <v>1.0</v>
      </c>
      <c r="J1157" s="3" t="s">
        <v>42</v>
      </c>
      <c r="K1157" s="16">
        <v>208.13</v>
      </c>
      <c r="L1157" s="16"/>
    </row>
    <row r="1158" ht="15.75" customHeight="1">
      <c r="A1158" s="17" t="s">
        <v>16</v>
      </c>
      <c r="C1158" s="4" t="s">
        <v>2318</v>
      </c>
      <c r="D1158" s="4" t="s">
        <v>2319</v>
      </c>
      <c r="E1158" s="4"/>
      <c r="F1158" s="18" t="str">
        <f t="shared" si="41"/>
        <v>RETAIL</v>
      </c>
      <c r="G1158" s="18" t="s">
        <v>2261</v>
      </c>
      <c r="H1158" s="4" t="str">
        <f t="shared" si="3"/>
        <v>1/PC</v>
      </c>
      <c r="I1158" s="4">
        <v>1.0</v>
      </c>
      <c r="J1158" s="3" t="s">
        <v>42</v>
      </c>
      <c r="K1158" s="16">
        <v>111.61</v>
      </c>
      <c r="L1158" s="16"/>
    </row>
    <row r="1159" ht="15.75" customHeight="1">
      <c r="A1159" s="17" t="s">
        <v>16</v>
      </c>
      <c r="C1159" s="4" t="s">
        <v>2320</v>
      </c>
      <c r="D1159" s="4" t="s">
        <v>2321</v>
      </c>
      <c r="E1159" s="4"/>
      <c r="F1159" s="18" t="str">
        <f t="shared" si="41"/>
        <v>RETAIL</v>
      </c>
      <c r="G1159" s="18" t="s">
        <v>2261</v>
      </c>
      <c r="H1159" s="4" t="str">
        <f t="shared" si="3"/>
        <v>1/PC</v>
      </c>
      <c r="I1159" s="4">
        <v>1.0</v>
      </c>
      <c r="J1159" s="3" t="s">
        <v>42</v>
      </c>
      <c r="K1159" s="16">
        <v>206.25</v>
      </c>
      <c r="L1159" s="16"/>
    </row>
    <row r="1160" ht="15.75" customHeight="1">
      <c r="A1160" s="17" t="s">
        <v>16</v>
      </c>
      <c r="C1160" s="4" t="s">
        <v>2322</v>
      </c>
      <c r="D1160" s="4" t="s">
        <v>2323</v>
      </c>
      <c r="E1160" s="4"/>
      <c r="F1160" s="18" t="str">
        <f t="shared" si="41"/>
        <v>RETAIL</v>
      </c>
      <c r="G1160" s="18" t="s">
        <v>2261</v>
      </c>
      <c r="H1160" s="4" t="str">
        <f t="shared" si="3"/>
        <v>1/PC</v>
      </c>
      <c r="I1160" s="4">
        <v>1.0</v>
      </c>
      <c r="J1160" s="3" t="s">
        <v>42</v>
      </c>
      <c r="K1160" s="16">
        <v>161.83</v>
      </c>
      <c r="L1160" s="16"/>
    </row>
    <row r="1161" ht="15.75" customHeight="1">
      <c r="A1161" s="17" t="s">
        <v>16</v>
      </c>
      <c r="C1161" s="4" t="s">
        <v>2324</v>
      </c>
      <c r="D1161" s="4" t="s">
        <v>2325</v>
      </c>
      <c r="E1161" s="4"/>
      <c r="F1161" s="18" t="str">
        <f t="shared" si="41"/>
        <v>RETAIL</v>
      </c>
      <c r="G1161" s="18" t="s">
        <v>2261</v>
      </c>
      <c r="H1161" s="4" t="str">
        <f t="shared" si="3"/>
        <v>1/PC</v>
      </c>
      <c r="I1161" s="4">
        <v>1.0</v>
      </c>
      <c r="J1161" s="3" t="s">
        <v>42</v>
      </c>
      <c r="K1161" s="16">
        <v>300.0</v>
      </c>
      <c r="L1161" s="16"/>
    </row>
    <row r="1162" ht="15.75" customHeight="1">
      <c r="A1162" s="17" t="s">
        <v>16</v>
      </c>
      <c r="C1162" s="4" t="s">
        <v>2326</v>
      </c>
      <c r="D1162" s="4" t="s">
        <v>2327</v>
      </c>
      <c r="E1162" s="4"/>
      <c r="F1162" s="18" t="str">
        <f t="shared" si="41"/>
        <v>RETAIL</v>
      </c>
      <c r="G1162" s="18" t="s">
        <v>2261</v>
      </c>
      <c r="H1162" s="4" t="str">
        <f t="shared" si="3"/>
        <v>1/PC</v>
      </c>
      <c r="I1162" s="4">
        <v>1.0</v>
      </c>
      <c r="J1162" s="3" t="s">
        <v>42</v>
      </c>
      <c r="K1162" s="16">
        <v>275.0</v>
      </c>
      <c r="L1162" s="16"/>
    </row>
    <row r="1163" ht="15.75" customHeight="1">
      <c r="A1163" s="17" t="s">
        <v>16</v>
      </c>
      <c r="C1163" s="4" t="s">
        <v>2328</v>
      </c>
      <c r="D1163" s="4" t="s">
        <v>2329</v>
      </c>
      <c r="E1163" s="4"/>
      <c r="F1163" s="18" t="str">
        <f t="shared" si="41"/>
        <v>RETAIL</v>
      </c>
      <c r="G1163" s="18" t="s">
        <v>2261</v>
      </c>
      <c r="H1163" s="4" t="str">
        <f t="shared" si="3"/>
        <v>1/PC</v>
      </c>
      <c r="I1163" s="4">
        <v>1.0</v>
      </c>
      <c r="J1163" s="3" t="s">
        <v>42</v>
      </c>
      <c r="K1163" s="16">
        <v>300.0</v>
      </c>
      <c r="L1163" s="16"/>
    </row>
    <row r="1164" ht="15.75" customHeight="1">
      <c r="A1164" s="17" t="s">
        <v>16</v>
      </c>
      <c r="C1164" s="4" t="s">
        <v>2330</v>
      </c>
      <c r="D1164" s="4" t="s">
        <v>2331</v>
      </c>
      <c r="E1164" s="4"/>
      <c r="F1164" s="18" t="str">
        <f t="shared" si="41"/>
        <v>RETAIL</v>
      </c>
      <c r="G1164" s="18" t="s">
        <v>2261</v>
      </c>
      <c r="H1164" s="4" t="str">
        <f t="shared" si="3"/>
        <v>1/PC</v>
      </c>
      <c r="I1164" s="4">
        <v>1.0</v>
      </c>
      <c r="J1164" s="3" t="s">
        <v>42</v>
      </c>
      <c r="K1164" s="16">
        <v>209.25</v>
      </c>
      <c r="L1164" s="16"/>
    </row>
    <row r="1165" ht="15.75" customHeight="1">
      <c r="A1165" s="17" t="s">
        <v>16</v>
      </c>
      <c r="C1165" s="4" t="s">
        <v>2332</v>
      </c>
      <c r="D1165" s="4" t="s">
        <v>2333</v>
      </c>
      <c r="E1165" s="4"/>
      <c r="F1165" s="18" t="str">
        <f t="shared" si="41"/>
        <v>RETAIL</v>
      </c>
      <c r="G1165" s="18" t="s">
        <v>2261</v>
      </c>
      <c r="H1165" s="4" t="str">
        <f t="shared" si="3"/>
        <v>1/PC</v>
      </c>
      <c r="I1165" s="4">
        <v>1.0</v>
      </c>
      <c r="J1165" s="3" t="s">
        <v>42</v>
      </c>
      <c r="K1165" s="16">
        <v>187.5</v>
      </c>
      <c r="L1165" s="16"/>
    </row>
    <row r="1166" ht="15.75" customHeight="1">
      <c r="A1166" s="17" t="s">
        <v>16</v>
      </c>
      <c r="C1166" s="4" t="s">
        <v>2334</v>
      </c>
      <c r="D1166" s="4" t="s">
        <v>2335</v>
      </c>
      <c r="E1166" s="4"/>
      <c r="F1166" s="18" t="str">
        <f t="shared" si="41"/>
        <v>RETAIL</v>
      </c>
      <c r="G1166" s="18" t="s">
        <v>2261</v>
      </c>
      <c r="H1166" s="4" t="str">
        <f t="shared" si="3"/>
        <v>1/PC</v>
      </c>
      <c r="I1166" s="4">
        <v>1.0</v>
      </c>
      <c r="J1166" s="3" t="s">
        <v>42</v>
      </c>
      <c r="K1166" s="16">
        <v>150.0</v>
      </c>
      <c r="L1166" s="16"/>
    </row>
    <row r="1167" ht="15.75" customHeight="1">
      <c r="A1167" s="17" t="s">
        <v>16</v>
      </c>
      <c r="C1167" s="4" t="s">
        <v>2336</v>
      </c>
      <c r="D1167" s="4" t="s">
        <v>2337</v>
      </c>
      <c r="E1167" s="4"/>
      <c r="F1167" s="18" t="str">
        <f t="shared" si="41"/>
        <v>RETAIL</v>
      </c>
      <c r="G1167" s="18" t="s">
        <v>2261</v>
      </c>
      <c r="H1167" s="4" t="str">
        <f t="shared" si="3"/>
        <v>1/PC</v>
      </c>
      <c r="I1167" s="4">
        <v>1.0</v>
      </c>
      <c r="J1167" s="3" t="s">
        <v>42</v>
      </c>
      <c r="K1167" s="16">
        <v>170.0</v>
      </c>
      <c r="L1167" s="16"/>
    </row>
    <row r="1168" ht="15.75" customHeight="1">
      <c r="A1168" s="17" t="s">
        <v>16</v>
      </c>
      <c r="C1168" s="4" t="s">
        <v>2338</v>
      </c>
      <c r="D1168" s="4" t="s">
        <v>2339</v>
      </c>
      <c r="E1168" s="4"/>
      <c r="F1168" s="18" t="str">
        <f t="shared" si="41"/>
        <v>RETAIL</v>
      </c>
      <c r="G1168" s="18" t="s">
        <v>2261</v>
      </c>
      <c r="H1168" s="4" t="str">
        <f t="shared" si="3"/>
        <v>1/PC</v>
      </c>
      <c r="I1168" s="4">
        <v>1.0</v>
      </c>
      <c r="J1168" s="3" t="s">
        <v>42</v>
      </c>
      <c r="K1168" s="16">
        <v>137.5</v>
      </c>
      <c r="L1168" s="16"/>
    </row>
    <row r="1169" ht="15.75" customHeight="1">
      <c r="A1169" s="17" t="s">
        <v>16</v>
      </c>
      <c r="C1169" s="4" t="s">
        <v>2340</v>
      </c>
      <c r="D1169" s="4" t="s">
        <v>2341</v>
      </c>
      <c r="E1169" s="4"/>
      <c r="F1169" s="18" t="str">
        <f t="shared" si="41"/>
        <v>RETAIL</v>
      </c>
      <c r="G1169" s="18" t="s">
        <v>2261</v>
      </c>
      <c r="H1169" s="4" t="str">
        <f t="shared" si="3"/>
        <v>1/PC</v>
      </c>
      <c r="I1169" s="4">
        <v>1.0</v>
      </c>
      <c r="J1169" s="3" t="s">
        <v>42</v>
      </c>
      <c r="K1169" s="16">
        <v>225.0</v>
      </c>
      <c r="L1169" s="16"/>
    </row>
    <row r="1170" ht="15.75" customHeight="1">
      <c r="A1170" s="17" t="s">
        <v>16</v>
      </c>
      <c r="C1170" s="4" t="s">
        <v>2342</v>
      </c>
      <c r="D1170" s="4" t="s">
        <v>2343</v>
      </c>
      <c r="E1170" s="4"/>
      <c r="F1170" s="18" t="str">
        <f t="shared" si="41"/>
        <v>RETAIL</v>
      </c>
      <c r="G1170" s="18" t="s">
        <v>2261</v>
      </c>
      <c r="H1170" s="4" t="str">
        <f t="shared" si="3"/>
        <v>1/PC</v>
      </c>
      <c r="I1170" s="4">
        <v>1.0</v>
      </c>
      <c r="J1170" s="3" t="s">
        <v>42</v>
      </c>
      <c r="K1170" s="16">
        <v>137.5</v>
      </c>
      <c r="L1170" s="16"/>
    </row>
    <row r="1171" ht="15.75" customHeight="1">
      <c r="A1171" s="17" t="s">
        <v>16</v>
      </c>
      <c r="C1171" s="4" t="s">
        <v>2344</v>
      </c>
      <c r="D1171" s="4" t="s">
        <v>2345</v>
      </c>
      <c r="E1171" s="4"/>
      <c r="F1171" s="18" t="str">
        <f t="shared" si="41"/>
        <v>RETAIL</v>
      </c>
      <c r="G1171" s="18" t="s">
        <v>2261</v>
      </c>
      <c r="H1171" s="4" t="str">
        <f t="shared" si="3"/>
        <v>1/PC</v>
      </c>
      <c r="I1171" s="4">
        <v>1.0</v>
      </c>
      <c r="J1171" s="3" t="s">
        <v>42</v>
      </c>
      <c r="K1171" s="16">
        <v>12.5</v>
      </c>
      <c r="L1171" s="16"/>
    </row>
    <row r="1172" ht="15.75" customHeight="1">
      <c r="A1172" s="17" t="s">
        <v>16</v>
      </c>
      <c r="C1172" s="4" t="s">
        <v>2346</v>
      </c>
      <c r="D1172" s="4" t="s">
        <v>2347</v>
      </c>
      <c r="E1172" s="4"/>
      <c r="F1172" s="18" t="s">
        <v>2261</v>
      </c>
      <c r="G1172" s="18" t="s">
        <v>2261</v>
      </c>
      <c r="H1172" s="4" t="str">
        <f t="shared" si="3"/>
        <v>1/SET</v>
      </c>
      <c r="I1172" s="4">
        <v>1.0</v>
      </c>
      <c r="J1172" s="3" t="s">
        <v>1092</v>
      </c>
      <c r="K1172" s="16">
        <v>193.75</v>
      </c>
      <c r="L1172" s="16"/>
    </row>
    <row r="1173" ht="15.75" customHeight="1">
      <c r="A1173" s="17" t="s">
        <v>16</v>
      </c>
      <c r="C1173" s="4" t="s">
        <v>2348</v>
      </c>
      <c r="D1173" s="4" t="s">
        <v>2349</v>
      </c>
      <c r="E1173" s="4"/>
      <c r="F1173" s="18" t="s">
        <v>2261</v>
      </c>
      <c r="G1173" s="18" t="s">
        <v>2261</v>
      </c>
      <c r="H1173" s="4" t="str">
        <f t="shared" si="3"/>
        <v>1/SET</v>
      </c>
      <c r="I1173" s="4">
        <v>1.0</v>
      </c>
      <c r="J1173" s="3" t="s">
        <v>1092</v>
      </c>
      <c r="K1173" s="16">
        <v>406.25</v>
      </c>
      <c r="L1173" s="16"/>
    </row>
    <row r="1174" ht="15.75" customHeight="1">
      <c r="A1174" s="17" t="s">
        <v>16</v>
      </c>
      <c r="C1174" s="4" t="s">
        <v>2350</v>
      </c>
      <c r="D1174" s="4" t="s">
        <v>2351</v>
      </c>
      <c r="E1174" s="4"/>
      <c r="F1174" s="18" t="s">
        <v>2261</v>
      </c>
      <c r="G1174" s="18" t="s">
        <v>2261</v>
      </c>
      <c r="H1174" s="4" t="str">
        <f t="shared" si="3"/>
        <v>1/SET</v>
      </c>
      <c r="I1174" s="4">
        <v>1.0</v>
      </c>
      <c r="J1174" s="3" t="s">
        <v>1092</v>
      </c>
      <c r="K1174" s="16">
        <v>206.25</v>
      </c>
      <c r="L1174" s="16"/>
    </row>
    <row r="1175" ht="15.75" customHeight="1">
      <c r="A1175" s="17" t="s">
        <v>16</v>
      </c>
      <c r="C1175" s="4" t="s">
        <v>2352</v>
      </c>
      <c r="D1175" s="4" t="s">
        <v>2353</v>
      </c>
      <c r="E1175" s="4"/>
      <c r="F1175" s="18" t="s">
        <v>2261</v>
      </c>
      <c r="G1175" s="18" t="s">
        <v>2261</v>
      </c>
      <c r="H1175" s="4" t="str">
        <f t="shared" si="3"/>
        <v>1/SET</v>
      </c>
      <c r="I1175" s="4">
        <v>1.0</v>
      </c>
      <c r="J1175" s="3" t="s">
        <v>1092</v>
      </c>
      <c r="K1175" s="16">
        <v>175.0</v>
      </c>
      <c r="L1175" s="16"/>
    </row>
    <row r="1176" ht="15.75" customHeight="1">
      <c r="A1176" s="17" t="s">
        <v>16</v>
      </c>
      <c r="C1176" s="4" t="s">
        <v>2354</v>
      </c>
      <c r="D1176" s="4" t="s">
        <v>2355</v>
      </c>
      <c r="E1176" s="4"/>
      <c r="F1176" s="18" t="str">
        <f t="shared" ref="F1176:F1181" si="42">G1176</f>
        <v>RETAIL</v>
      </c>
      <c r="G1176" s="18" t="s">
        <v>2261</v>
      </c>
      <c r="H1176" s="4" t="str">
        <f t="shared" si="3"/>
        <v>1/PC</v>
      </c>
      <c r="I1176" s="4">
        <v>1.0</v>
      </c>
      <c r="J1176" s="3" t="s">
        <v>42</v>
      </c>
      <c r="K1176" s="16">
        <v>200.0</v>
      </c>
      <c r="L1176" s="16"/>
    </row>
    <row r="1177" ht="15.75" customHeight="1">
      <c r="A1177" s="17" t="s">
        <v>16</v>
      </c>
      <c r="C1177" s="4" t="s">
        <v>2356</v>
      </c>
      <c r="D1177" s="4" t="s">
        <v>2357</v>
      </c>
      <c r="E1177" s="4"/>
      <c r="F1177" s="18" t="str">
        <f t="shared" si="42"/>
        <v>RETAIL</v>
      </c>
      <c r="G1177" s="18" t="s">
        <v>2261</v>
      </c>
      <c r="H1177" s="4" t="str">
        <f t="shared" si="3"/>
        <v>1/PC</v>
      </c>
      <c r="I1177" s="4">
        <v>1.0</v>
      </c>
      <c r="J1177" s="3" t="s">
        <v>42</v>
      </c>
      <c r="K1177" s="16">
        <v>100.45</v>
      </c>
      <c r="L1177" s="16"/>
    </row>
    <row r="1178" ht="15.75" customHeight="1">
      <c r="A1178" s="17" t="s">
        <v>16</v>
      </c>
      <c r="C1178" s="4" t="s">
        <v>2358</v>
      </c>
      <c r="D1178" s="4" t="s">
        <v>2359</v>
      </c>
      <c r="E1178" s="4"/>
      <c r="F1178" s="18" t="str">
        <f t="shared" si="42"/>
        <v>RETAIL</v>
      </c>
      <c r="G1178" s="18" t="s">
        <v>2261</v>
      </c>
      <c r="H1178" s="4" t="str">
        <f t="shared" si="3"/>
        <v>1/PC</v>
      </c>
      <c r="I1178" s="4">
        <v>1.0</v>
      </c>
      <c r="J1178" s="3" t="s">
        <v>42</v>
      </c>
      <c r="K1178" s="16">
        <v>650.89</v>
      </c>
      <c r="L1178" s="16"/>
    </row>
    <row r="1179" ht="15.75" customHeight="1">
      <c r="A1179" s="17" t="s">
        <v>16</v>
      </c>
      <c r="C1179" s="4" t="s">
        <v>2360</v>
      </c>
      <c r="D1179" s="4" t="s">
        <v>2361</v>
      </c>
      <c r="E1179" s="4"/>
      <c r="F1179" s="18" t="str">
        <f t="shared" si="42"/>
        <v>RETAIL</v>
      </c>
      <c r="G1179" s="18" t="s">
        <v>2261</v>
      </c>
      <c r="H1179" s="4" t="str">
        <f t="shared" si="3"/>
        <v>1/PC</v>
      </c>
      <c r="I1179" s="4">
        <v>1.0</v>
      </c>
      <c r="J1179" s="3" t="s">
        <v>42</v>
      </c>
      <c r="K1179" s="16">
        <v>962.59</v>
      </c>
      <c r="L1179" s="16"/>
    </row>
    <row r="1180" ht="15.75" customHeight="1">
      <c r="A1180" s="17" t="s">
        <v>16</v>
      </c>
      <c r="C1180" s="4" t="s">
        <v>2362</v>
      </c>
      <c r="D1180" s="4" t="s">
        <v>2363</v>
      </c>
      <c r="E1180" s="4"/>
      <c r="F1180" s="18" t="str">
        <f t="shared" si="42"/>
        <v>RETAIL</v>
      </c>
      <c r="G1180" s="18" t="s">
        <v>2261</v>
      </c>
      <c r="H1180" s="4" t="str">
        <f t="shared" si="3"/>
        <v>1/PC</v>
      </c>
      <c r="I1180" s="4">
        <v>1.0</v>
      </c>
      <c r="J1180" s="3" t="s">
        <v>42</v>
      </c>
      <c r="K1180" s="16">
        <v>1352.99</v>
      </c>
      <c r="L1180" s="16"/>
    </row>
    <row r="1181" ht="15.75" customHeight="1">
      <c r="A1181" s="17" t="s">
        <v>16</v>
      </c>
      <c r="C1181" s="4" t="s">
        <v>2364</v>
      </c>
      <c r="D1181" s="4" t="s">
        <v>2365</v>
      </c>
      <c r="E1181" s="4"/>
      <c r="F1181" s="18" t="str">
        <f t="shared" si="42"/>
        <v>RETAIL</v>
      </c>
      <c r="G1181" s="18" t="s">
        <v>2261</v>
      </c>
      <c r="H1181" s="4" t="str">
        <f t="shared" si="3"/>
        <v>1/PC</v>
      </c>
      <c r="I1181" s="4">
        <v>1.0</v>
      </c>
      <c r="J1181" s="3" t="s">
        <v>42</v>
      </c>
      <c r="K1181" s="16">
        <v>1472.33</v>
      </c>
      <c r="L1181" s="16"/>
    </row>
    <row r="1182" ht="15.75" customHeight="1">
      <c r="C1182" s="4"/>
      <c r="D1182" s="2"/>
      <c r="E1182" s="2"/>
      <c r="F1182" s="18"/>
      <c r="G1182" s="18"/>
      <c r="H1182" s="4" t="str">
        <f t="shared" si="3"/>
        <v>/</v>
      </c>
      <c r="I1182" s="4"/>
      <c r="J1182" s="3"/>
      <c r="K1182" s="16"/>
      <c r="L1182" s="16"/>
    </row>
    <row r="1183" ht="15.75" customHeight="1">
      <c r="A1183" s="2" t="s">
        <v>2366</v>
      </c>
      <c r="C1183" s="4"/>
      <c r="F1183" s="18"/>
      <c r="G1183" s="18"/>
      <c r="H1183" s="4" t="str">
        <f t="shared" si="3"/>
        <v>/</v>
      </c>
      <c r="I1183" s="4"/>
      <c r="J1183" s="3"/>
      <c r="K1183" s="16"/>
      <c r="L1183" s="16"/>
    </row>
    <row r="1184" ht="15.75" customHeight="1">
      <c r="A1184" s="17" t="s">
        <v>2037</v>
      </c>
      <c r="C1184" s="4" t="s">
        <v>2367</v>
      </c>
      <c r="D1184" s="4" t="s">
        <v>2368</v>
      </c>
      <c r="E1184" s="4"/>
      <c r="F1184" s="18" t="str">
        <f t="shared" ref="F1184:F1197" si="43">G1184</f>
        <v>RETAIL</v>
      </c>
      <c r="G1184" s="18" t="s">
        <v>2261</v>
      </c>
      <c r="H1184" s="4" t="str">
        <f t="shared" si="3"/>
        <v>1/PC</v>
      </c>
      <c r="I1184" s="4">
        <v>1.0</v>
      </c>
      <c r="J1184" s="3" t="s">
        <v>42</v>
      </c>
      <c r="K1184" s="16">
        <v>375.0</v>
      </c>
      <c r="L1184" s="16"/>
    </row>
    <row r="1185" ht="15.75" customHeight="1">
      <c r="A1185" s="17" t="s">
        <v>2037</v>
      </c>
      <c r="C1185" s="4" t="s">
        <v>2369</v>
      </c>
      <c r="D1185" s="4" t="s">
        <v>2370</v>
      </c>
      <c r="E1185" s="4"/>
      <c r="F1185" s="18" t="str">
        <f t="shared" si="43"/>
        <v>RETAIL</v>
      </c>
      <c r="G1185" s="18" t="s">
        <v>2261</v>
      </c>
      <c r="H1185" s="4" t="str">
        <f t="shared" si="3"/>
        <v>1/PACK</v>
      </c>
      <c r="I1185" s="4">
        <v>1.0</v>
      </c>
      <c r="J1185" s="3" t="s">
        <v>23</v>
      </c>
      <c r="K1185" s="16">
        <v>125.5</v>
      </c>
      <c r="L1185" s="16"/>
    </row>
    <row r="1186" ht="15.75" customHeight="1">
      <c r="A1186" s="17" t="s">
        <v>2037</v>
      </c>
      <c r="C1186" s="4" t="s">
        <v>2371</v>
      </c>
      <c r="D1186" s="4" t="s">
        <v>2372</v>
      </c>
      <c r="E1186" s="4"/>
      <c r="F1186" s="18" t="str">
        <f t="shared" si="43"/>
        <v>RETAIL</v>
      </c>
      <c r="G1186" s="18" t="s">
        <v>2261</v>
      </c>
      <c r="H1186" s="4" t="str">
        <f t="shared" si="3"/>
        <v>1/PACK</v>
      </c>
      <c r="I1186" s="4">
        <v>1.0</v>
      </c>
      <c r="J1186" s="3" t="s">
        <v>23</v>
      </c>
      <c r="K1186" s="16">
        <v>114.29</v>
      </c>
      <c r="L1186" s="16"/>
    </row>
    <row r="1187" ht="15.75" customHeight="1">
      <c r="A1187" s="17" t="s">
        <v>2037</v>
      </c>
      <c r="C1187" s="4" t="s">
        <v>2373</v>
      </c>
      <c r="D1187" s="4" t="s">
        <v>2374</v>
      </c>
      <c r="E1187" s="4"/>
      <c r="F1187" s="18" t="str">
        <f t="shared" si="43"/>
        <v>RETAIL</v>
      </c>
      <c r="G1187" s="18" t="s">
        <v>2261</v>
      </c>
      <c r="H1187" s="4" t="str">
        <f t="shared" si="3"/>
        <v>1/PC</v>
      </c>
      <c r="I1187" s="4">
        <v>1.0</v>
      </c>
      <c r="J1187" s="3" t="s">
        <v>42</v>
      </c>
      <c r="K1187" s="16">
        <v>150.6</v>
      </c>
      <c r="L1187" s="16"/>
    </row>
    <row r="1188" ht="15.75" customHeight="1">
      <c r="A1188" s="17" t="s">
        <v>2037</v>
      </c>
      <c r="C1188" s="4" t="s">
        <v>2375</v>
      </c>
      <c r="D1188" s="4" t="s">
        <v>2376</v>
      </c>
      <c r="E1188" s="4"/>
      <c r="F1188" s="18" t="str">
        <f t="shared" si="43"/>
        <v>RETAIL</v>
      </c>
      <c r="G1188" s="18" t="s">
        <v>2261</v>
      </c>
      <c r="H1188" s="4" t="str">
        <f t="shared" si="3"/>
        <v>1/PC</v>
      </c>
      <c r="I1188" s="4">
        <v>1.0</v>
      </c>
      <c r="J1188" s="3" t="s">
        <v>42</v>
      </c>
      <c r="K1188" s="16">
        <v>142.86</v>
      </c>
      <c r="L1188" s="16"/>
    </row>
    <row r="1189" ht="15.75" customHeight="1">
      <c r="A1189" s="17" t="s">
        <v>2037</v>
      </c>
      <c r="C1189" s="4" t="s">
        <v>2377</v>
      </c>
      <c r="D1189" s="4" t="s">
        <v>2378</v>
      </c>
      <c r="E1189" s="4"/>
      <c r="F1189" s="18" t="str">
        <f t="shared" si="43"/>
        <v>RETAIL</v>
      </c>
      <c r="G1189" s="18" t="s">
        <v>2261</v>
      </c>
      <c r="H1189" s="4" t="str">
        <f t="shared" si="3"/>
        <v>50/PC</v>
      </c>
      <c r="I1189" s="4">
        <v>50.0</v>
      </c>
      <c r="J1189" s="3" t="s">
        <v>42</v>
      </c>
      <c r="K1189" s="16">
        <v>103.03</v>
      </c>
      <c r="L1189" s="16"/>
    </row>
    <row r="1190" ht="15.75" customHeight="1">
      <c r="A1190" s="17" t="s">
        <v>2037</v>
      </c>
      <c r="C1190" s="4" t="s">
        <v>2379</v>
      </c>
      <c r="D1190" s="4" t="s">
        <v>2380</v>
      </c>
      <c r="E1190" s="4"/>
      <c r="F1190" s="18" t="str">
        <f t="shared" si="43"/>
        <v>RETAIL</v>
      </c>
      <c r="G1190" s="18" t="s">
        <v>2261</v>
      </c>
      <c r="H1190" s="4" t="str">
        <f t="shared" si="3"/>
        <v>1/PC</v>
      </c>
      <c r="I1190" s="4">
        <v>1.0</v>
      </c>
      <c r="J1190" s="3" t="s">
        <v>42</v>
      </c>
      <c r="K1190" s="16">
        <v>58.04</v>
      </c>
      <c r="L1190" s="16"/>
    </row>
    <row r="1191" ht="15.75" customHeight="1">
      <c r="A1191" s="17" t="s">
        <v>2037</v>
      </c>
      <c r="C1191" s="4" t="s">
        <v>2381</v>
      </c>
      <c r="D1191" s="4" t="s">
        <v>2382</v>
      </c>
      <c r="E1191" s="4"/>
      <c r="F1191" s="18" t="str">
        <f t="shared" si="43"/>
        <v>BEVERAGE</v>
      </c>
      <c r="G1191" s="18" t="s">
        <v>54</v>
      </c>
      <c r="H1191" s="4" t="str">
        <f t="shared" si="3"/>
        <v>24/Case</v>
      </c>
      <c r="I1191" s="4">
        <v>24.0</v>
      </c>
      <c r="J1191" s="3" t="s">
        <v>2082</v>
      </c>
      <c r="K1191" s="16">
        <v>1120.21</v>
      </c>
      <c r="L1191" s="16"/>
    </row>
    <row r="1192" ht="15.75" customHeight="1">
      <c r="A1192" s="17" t="s">
        <v>2037</v>
      </c>
      <c r="C1192" s="4" t="s">
        <v>2383</v>
      </c>
      <c r="D1192" s="4" t="s">
        <v>2384</v>
      </c>
      <c r="E1192" s="4"/>
      <c r="F1192" s="18" t="str">
        <f t="shared" si="43"/>
        <v>RETAIL</v>
      </c>
      <c r="G1192" s="18" t="s">
        <v>2261</v>
      </c>
      <c r="H1192" s="4" t="str">
        <f t="shared" si="3"/>
        <v>1/PC</v>
      </c>
      <c r="I1192" s="4">
        <v>1.0</v>
      </c>
      <c r="J1192" s="3" t="s">
        <v>42</v>
      </c>
      <c r="K1192" s="16">
        <v>40.0</v>
      </c>
      <c r="L1192" s="16"/>
    </row>
    <row r="1193" ht="15.75" customHeight="1">
      <c r="A1193" s="17" t="s">
        <v>2037</v>
      </c>
      <c r="C1193" s="4" t="s">
        <v>2385</v>
      </c>
      <c r="D1193" s="4" t="s">
        <v>2386</v>
      </c>
      <c r="E1193" s="4"/>
      <c r="F1193" s="18" t="str">
        <f t="shared" si="43"/>
        <v>BEVERAGE</v>
      </c>
      <c r="G1193" s="18" t="s">
        <v>54</v>
      </c>
      <c r="H1193" s="4" t="str">
        <f t="shared" si="3"/>
        <v>6/LIT</v>
      </c>
      <c r="I1193" s="4">
        <v>6.0</v>
      </c>
      <c r="J1193" s="3" t="s">
        <v>20</v>
      </c>
      <c r="K1193" s="16">
        <v>53.57</v>
      </c>
      <c r="L1193" s="16"/>
    </row>
    <row r="1194" ht="15.75" customHeight="1">
      <c r="A1194" s="17" t="s">
        <v>2037</v>
      </c>
      <c r="C1194" s="4" t="s">
        <v>2387</v>
      </c>
      <c r="D1194" s="4" t="s">
        <v>2388</v>
      </c>
      <c r="E1194" s="4"/>
      <c r="F1194" s="18" t="str">
        <f t="shared" si="43"/>
        <v>RETAIL</v>
      </c>
      <c r="G1194" s="18" t="s">
        <v>2261</v>
      </c>
      <c r="H1194" s="4" t="str">
        <f t="shared" si="3"/>
        <v>1/PC</v>
      </c>
      <c r="I1194" s="4">
        <v>1.0</v>
      </c>
      <c r="J1194" s="3" t="s">
        <v>42</v>
      </c>
      <c r="K1194" s="16">
        <v>44.96</v>
      </c>
      <c r="L1194" s="16"/>
    </row>
    <row r="1195" ht="15.75" customHeight="1">
      <c r="A1195" s="17" t="s">
        <v>2037</v>
      </c>
      <c r="C1195" s="4" t="s">
        <v>2389</v>
      </c>
      <c r="D1195" s="4" t="s">
        <v>2390</v>
      </c>
      <c r="E1195" s="4"/>
      <c r="F1195" s="18" t="str">
        <f t="shared" si="43"/>
        <v>RETAIL</v>
      </c>
      <c r="G1195" s="18" t="s">
        <v>2261</v>
      </c>
      <c r="H1195" s="4" t="str">
        <f t="shared" si="3"/>
        <v>1/PC</v>
      </c>
      <c r="I1195" s="4">
        <v>1.0</v>
      </c>
      <c r="J1195" s="3" t="s">
        <v>42</v>
      </c>
      <c r="K1195" s="16">
        <v>46.83</v>
      </c>
      <c r="L1195" s="16"/>
    </row>
    <row r="1196" ht="15.75" customHeight="1">
      <c r="A1196" s="17" t="s">
        <v>2037</v>
      </c>
      <c r="C1196" s="4" t="s">
        <v>2391</v>
      </c>
      <c r="D1196" s="4" t="s">
        <v>2392</v>
      </c>
      <c r="E1196" s="4"/>
      <c r="F1196" s="18" t="str">
        <f t="shared" si="43"/>
        <v>RETAIL</v>
      </c>
      <c r="G1196" s="18" t="s">
        <v>2261</v>
      </c>
      <c r="H1196" s="4" t="str">
        <f t="shared" si="3"/>
        <v>1/PACK</v>
      </c>
      <c r="I1196" s="4">
        <v>1.0</v>
      </c>
      <c r="J1196" s="3" t="s">
        <v>23</v>
      </c>
      <c r="K1196" s="16">
        <v>56.25</v>
      </c>
      <c r="L1196" s="16"/>
    </row>
    <row r="1197" ht="15.75" customHeight="1">
      <c r="A1197" s="17" t="s">
        <v>2037</v>
      </c>
      <c r="C1197" s="3" t="s">
        <v>2393</v>
      </c>
      <c r="D1197" s="4" t="s">
        <v>2394</v>
      </c>
      <c r="E1197" s="4"/>
      <c r="F1197" s="18" t="str">
        <f t="shared" si="43"/>
        <v>BEVERAGE</v>
      </c>
      <c r="G1197" s="18" t="s">
        <v>54</v>
      </c>
      <c r="H1197" s="4" t="str">
        <f t="shared" si="3"/>
        <v>1/PACK</v>
      </c>
      <c r="I1197" s="18">
        <v>1.0</v>
      </c>
      <c r="J1197" s="19" t="s">
        <v>23</v>
      </c>
      <c r="K1197" s="16">
        <v>68.53</v>
      </c>
      <c r="L1197" s="16"/>
    </row>
    <row r="1198" ht="15.75" customHeight="1">
      <c r="C1198" s="3"/>
      <c r="D1198" s="2"/>
      <c r="E1198" s="2"/>
      <c r="F1198" s="18"/>
      <c r="G1198" s="18"/>
      <c r="H1198" s="4" t="str">
        <f t="shared" si="3"/>
        <v>/</v>
      </c>
      <c r="I1198" s="18"/>
      <c r="J1198" s="19"/>
      <c r="K1198" s="16"/>
      <c r="L1198" s="16"/>
    </row>
    <row r="1199" ht="15.75" customHeight="1">
      <c r="A1199" s="2" t="s">
        <v>2395</v>
      </c>
      <c r="C1199" s="4"/>
      <c r="F1199" s="18"/>
      <c r="G1199" s="18"/>
      <c r="H1199" s="4" t="str">
        <f t="shared" si="3"/>
        <v>/</v>
      </c>
      <c r="I1199" s="18"/>
      <c r="J1199" s="19"/>
      <c r="K1199" s="16"/>
      <c r="L1199" s="16"/>
    </row>
    <row r="1200" ht="15.75" customHeight="1">
      <c r="A1200" s="17" t="s">
        <v>2037</v>
      </c>
      <c r="C1200" s="4" t="s">
        <v>2396</v>
      </c>
      <c r="D1200" s="4" t="s">
        <v>2397</v>
      </c>
      <c r="E1200" s="4"/>
      <c r="F1200" s="18" t="s">
        <v>2398</v>
      </c>
      <c r="G1200" s="18" t="s">
        <v>2398</v>
      </c>
      <c r="H1200" s="4" t="str">
        <f t="shared" si="3"/>
        <v>1/Unit</v>
      </c>
      <c r="I1200" s="4">
        <v>1.0</v>
      </c>
      <c r="J1200" s="3" t="s">
        <v>2399</v>
      </c>
      <c r="K1200" s="16">
        <v>6499.999999999999</v>
      </c>
      <c r="L1200" s="16"/>
    </row>
    <row r="1201" ht="15.75" customHeight="1">
      <c r="A1201" s="17" t="s">
        <v>2037</v>
      </c>
      <c r="C1201" s="3" t="s">
        <v>2400</v>
      </c>
      <c r="D1201" s="4" t="s">
        <v>2401</v>
      </c>
      <c r="E1201" s="4"/>
      <c r="F1201" s="18" t="s">
        <v>2398</v>
      </c>
      <c r="G1201" s="18" t="s">
        <v>2398</v>
      </c>
      <c r="H1201" s="4" t="str">
        <f t="shared" si="3"/>
        <v>1/Unit</v>
      </c>
      <c r="I1201" s="4">
        <v>1.0</v>
      </c>
      <c r="J1201" s="3" t="s">
        <v>2399</v>
      </c>
      <c r="K1201" s="16">
        <v>6499.999999999999</v>
      </c>
      <c r="L1201" s="16"/>
    </row>
    <row r="1202" ht="15.75" customHeight="1">
      <c r="A1202" s="17" t="s">
        <v>2037</v>
      </c>
      <c r="C1202" s="3" t="s">
        <v>2402</v>
      </c>
      <c r="D1202" s="4" t="s">
        <v>2403</v>
      </c>
      <c r="E1202" s="4"/>
      <c r="F1202" s="18" t="s">
        <v>2398</v>
      </c>
      <c r="G1202" s="18" t="s">
        <v>2398</v>
      </c>
      <c r="H1202" s="4" t="str">
        <f t="shared" si="3"/>
        <v>1/Unit</v>
      </c>
      <c r="I1202" s="18">
        <v>1.0</v>
      </c>
      <c r="J1202" s="19" t="s">
        <v>2399</v>
      </c>
      <c r="K1202" s="16">
        <v>6499.999999999999</v>
      </c>
      <c r="L1202" s="16"/>
    </row>
    <row r="1203" ht="15.75" customHeight="1">
      <c r="C1203" s="3"/>
      <c r="D1203" s="2"/>
      <c r="E1203" s="2"/>
      <c r="F1203" s="18"/>
      <c r="G1203" s="18"/>
      <c r="H1203" s="4" t="str">
        <f t="shared" si="3"/>
        <v>/</v>
      </c>
      <c r="I1203" s="18"/>
      <c r="J1203" s="19"/>
      <c r="K1203" s="16"/>
      <c r="L1203" s="16"/>
    </row>
    <row r="1204" ht="15.75" customHeight="1">
      <c r="A1204" s="2" t="s">
        <v>2404</v>
      </c>
      <c r="C1204" s="4"/>
      <c r="F1204" s="18"/>
      <c r="G1204" s="18"/>
      <c r="H1204" s="4" t="str">
        <f t="shared" si="3"/>
        <v>/</v>
      </c>
      <c r="I1204" s="18"/>
      <c r="J1204" s="19"/>
      <c r="K1204" s="16"/>
      <c r="L1204" s="16"/>
    </row>
    <row r="1205" ht="15.75" customHeight="1">
      <c r="A1205" s="17" t="s">
        <v>2037</v>
      </c>
      <c r="C1205" s="4" t="s">
        <v>2405</v>
      </c>
      <c r="D1205" s="4" t="s">
        <v>2406</v>
      </c>
      <c r="E1205" s="4"/>
      <c r="F1205" s="18" t="s">
        <v>47</v>
      </c>
      <c r="G1205" s="18" t="s">
        <v>47</v>
      </c>
      <c r="H1205" s="4" t="str">
        <f t="shared" si="3"/>
        <v>1/PC</v>
      </c>
      <c r="I1205" s="18">
        <v>1.0</v>
      </c>
      <c r="J1205" s="19" t="s">
        <v>42</v>
      </c>
      <c r="K1205" s="16">
        <v>2.321428571428571</v>
      </c>
      <c r="L1205" s="16"/>
    </row>
    <row r="1206" ht="15.75" customHeight="1">
      <c r="A1206" s="17" t="s">
        <v>16</v>
      </c>
      <c r="C1206" s="4" t="s">
        <v>2407</v>
      </c>
      <c r="D1206" s="4" t="s">
        <v>2408</v>
      </c>
      <c r="E1206" s="4"/>
      <c r="F1206" s="18" t="s">
        <v>40</v>
      </c>
      <c r="G1206" s="18" t="s">
        <v>448</v>
      </c>
      <c r="H1206" s="4" t="str">
        <f t="shared" si="3"/>
        <v>50/box</v>
      </c>
      <c r="I1206" s="18">
        <v>50.0</v>
      </c>
      <c r="J1206" s="19" t="s">
        <v>1907</v>
      </c>
      <c r="K1206" s="16">
        <v>1205.3571428571427</v>
      </c>
      <c r="L1206" s="16"/>
    </row>
    <row r="1207" ht="15.75" customHeight="1">
      <c r="A1207" s="17" t="s">
        <v>2037</v>
      </c>
      <c r="C1207" s="4" t="s">
        <v>2409</v>
      </c>
      <c r="D1207" s="4" t="s">
        <v>2410</v>
      </c>
      <c r="E1207" s="4"/>
      <c r="F1207" s="18" t="s">
        <v>47</v>
      </c>
      <c r="G1207" s="18" t="s">
        <v>47</v>
      </c>
      <c r="H1207" s="4" t="str">
        <f t="shared" si="3"/>
        <v>1/PC</v>
      </c>
      <c r="I1207" s="18">
        <v>1.0</v>
      </c>
      <c r="J1207" s="19" t="s">
        <v>42</v>
      </c>
      <c r="K1207" s="16">
        <v>606.6964285714286</v>
      </c>
      <c r="L1207" s="16"/>
    </row>
    <row r="1208" ht="15.75" customHeight="1">
      <c r="A1208" s="17" t="s">
        <v>2037</v>
      </c>
      <c r="C1208" s="4" t="s">
        <v>2411</v>
      </c>
      <c r="D1208" s="4" t="s">
        <v>2412</v>
      </c>
      <c r="E1208" s="4"/>
      <c r="F1208" s="18" t="s">
        <v>47</v>
      </c>
      <c r="G1208" s="18" t="s">
        <v>47</v>
      </c>
      <c r="H1208" s="4" t="str">
        <f t="shared" si="3"/>
        <v>1/PC</v>
      </c>
      <c r="I1208" s="18">
        <v>1.0</v>
      </c>
      <c r="J1208" s="19" t="s">
        <v>42</v>
      </c>
      <c r="K1208" s="16">
        <v>324.8482142857142</v>
      </c>
      <c r="L1208" s="16"/>
    </row>
    <row r="1209" ht="15.75" customHeight="1">
      <c r="A1209" s="17" t="s">
        <v>2037</v>
      </c>
      <c r="C1209" s="4" t="s">
        <v>2413</v>
      </c>
      <c r="D1209" s="4" t="s">
        <v>2414</v>
      </c>
      <c r="E1209" s="4"/>
      <c r="F1209" s="18" t="s">
        <v>2415</v>
      </c>
      <c r="G1209" s="18" t="s">
        <v>2415</v>
      </c>
      <c r="H1209" s="4" t="str">
        <f t="shared" si="3"/>
        <v>1/UNIT</v>
      </c>
      <c r="I1209" s="18">
        <v>1.0</v>
      </c>
      <c r="J1209" s="19" t="s">
        <v>2416</v>
      </c>
      <c r="K1209" s="16">
        <v>3187.4999999999995</v>
      </c>
      <c r="L1209" s="16"/>
    </row>
    <row r="1210" ht="15.75" customHeight="1">
      <c r="A1210" s="17" t="s">
        <v>2037</v>
      </c>
      <c r="C1210" s="4" t="s">
        <v>2417</v>
      </c>
      <c r="D1210" s="4" t="s">
        <v>2418</v>
      </c>
      <c r="E1210" s="4"/>
      <c r="F1210" s="18" t="s">
        <v>2415</v>
      </c>
      <c r="G1210" s="18" t="s">
        <v>2415</v>
      </c>
      <c r="H1210" s="4" t="str">
        <f t="shared" si="3"/>
        <v>1/UNIT</v>
      </c>
      <c r="I1210" s="18">
        <v>1.0</v>
      </c>
      <c r="J1210" s="19" t="s">
        <v>2416</v>
      </c>
      <c r="K1210" s="16">
        <v>78109.99999999999</v>
      </c>
      <c r="L1210" s="16"/>
    </row>
    <row r="1211" ht="15.75" customHeight="1">
      <c r="A1211" s="17" t="s">
        <v>2037</v>
      </c>
      <c r="C1211" s="4" t="s">
        <v>2419</v>
      </c>
      <c r="D1211" s="4" t="s">
        <v>2420</v>
      </c>
      <c r="E1211" s="4"/>
      <c r="F1211" s="18" t="s">
        <v>2415</v>
      </c>
      <c r="G1211" s="18" t="s">
        <v>2415</v>
      </c>
      <c r="H1211" s="4" t="str">
        <f t="shared" si="3"/>
        <v>1/UNIT</v>
      </c>
      <c r="I1211" s="18">
        <v>1.0</v>
      </c>
      <c r="J1211" s="19" t="s">
        <v>2416</v>
      </c>
      <c r="K1211" s="16">
        <v>126808.0357142857</v>
      </c>
      <c r="L1211" s="16"/>
    </row>
    <row r="1212" ht="15.75" customHeight="1">
      <c r="A1212" s="17" t="s">
        <v>2037</v>
      </c>
      <c r="C1212" s="4" t="s">
        <v>2421</v>
      </c>
      <c r="D1212" s="4" t="s">
        <v>2422</v>
      </c>
      <c r="E1212" s="4"/>
      <c r="F1212" s="18" t="s">
        <v>2415</v>
      </c>
      <c r="G1212" s="18" t="s">
        <v>2415</v>
      </c>
      <c r="H1212" s="4" t="str">
        <f t="shared" si="3"/>
        <v>1/UNIT</v>
      </c>
      <c r="I1212" s="18">
        <v>1.0</v>
      </c>
      <c r="J1212" s="19" t="s">
        <v>2416</v>
      </c>
      <c r="K1212" s="16">
        <v>3294.642857142857</v>
      </c>
      <c r="L1212" s="16"/>
    </row>
    <row r="1213" ht="15.75" customHeight="1">
      <c r="A1213" s="17" t="s">
        <v>16</v>
      </c>
      <c r="C1213" s="4" t="s">
        <v>2423</v>
      </c>
      <c r="D1213" s="4" t="s">
        <v>2424</v>
      </c>
      <c r="E1213" s="4"/>
      <c r="F1213" s="18" t="s">
        <v>40</v>
      </c>
      <c r="G1213" s="18" t="s">
        <v>448</v>
      </c>
      <c r="H1213" s="4" t="str">
        <f t="shared" si="3"/>
        <v>1/PC</v>
      </c>
      <c r="I1213" s="18">
        <v>1.0</v>
      </c>
      <c r="J1213" s="19" t="s">
        <v>42</v>
      </c>
      <c r="K1213" s="16">
        <v>865.0</v>
      </c>
      <c r="L1213" s="16"/>
    </row>
    <row r="1214" ht="15.75" customHeight="1">
      <c r="A1214" s="17" t="s">
        <v>2037</v>
      </c>
      <c r="C1214" s="4" t="s">
        <v>2425</v>
      </c>
      <c r="D1214" s="44" t="s">
        <v>2426</v>
      </c>
      <c r="E1214" s="44"/>
      <c r="F1214" s="18" t="s">
        <v>47</v>
      </c>
      <c r="G1214" s="18" t="s">
        <v>47</v>
      </c>
      <c r="H1214" s="4" t="str">
        <f t="shared" si="3"/>
        <v>1/PC</v>
      </c>
      <c r="I1214" s="4">
        <v>1.0</v>
      </c>
      <c r="J1214" s="3" t="s">
        <v>42</v>
      </c>
      <c r="K1214" s="16">
        <v>422.4</v>
      </c>
      <c r="L1214" s="16"/>
    </row>
    <row r="1215" ht="15.75" customHeight="1">
      <c r="A1215" s="17" t="s">
        <v>2037</v>
      </c>
      <c r="C1215" s="4" t="s">
        <v>2427</v>
      </c>
      <c r="D1215" s="4" t="s">
        <v>2428</v>
      </c>
      <c r="E1215" s="4"/>
      <c r="F1215" s="18" t="s">
        <v>47</v>
      </c>
      <c r="G1215" s="18" t="s">
        <v>47</v>
      </c>
      <c r="H1215" s="4" t="str">
        <f t="shared" si="3"/>
        <v>1/PC</v>
      </c>
      <c r="I1215" s="18">
        <v>1.0</v>
      </c>
      <c r="J1215" s="19" t="s">
        <v>42</v>
      </c>
      <c r="K1215" s="16">
        <v>281.0982142857142</v>
      </c>
      <c r="L1215" s="16"/>
    </row>
    <row r="1216" ht="15.75" customHeight="1">
      <c r="A1216" s="17" t="s">
        <v>2037</v>
      </c>
      <c r="C1216" s="4" t="s">
        <v>2429</v>
      </c>
      <c r="D1216" s="4" t="s">
        <v>2430</v>
      </c>
      <c r="E1216" s="4"/>
      <c r="F1216" s="18" t="s">
        <v>47</v>
      </c>
      <c r="G1216" s="18" t="s">
        <v>47</v>
      </c>
      <c r="H1216" s="4" t="str">
        <f t="shared" si="3"/>
        <v>1/PC</v>
      </c>
      <c r="I1216" s="4">
        <v>1.0</v>
      </c>
      <c r="J1216" s="3" t="s">
        <v>42</v>
      </c>
      <c r="K1216" s="16">
        <v>137.34821428571428</v>
      </c>
      <c r="L1216" s="16"/>
    </row>
    <row r="1217" ht="15.75" customHeight="1">
      <c r="A1217" s="17" t="s">
        <v>16</v>
      </c>
      <c r="C1217" s="4" t="s">
        <v>2431</v>
      </c>
      <c r="D1217" s="4" t="s">
        <v>2432</v>
      </c>
      <c r="E1217" s="4"/>
      <c r="F1217" s="18" t="s">
        <v>40</v>
      </c>
      <c r="G1217" s="18" t="s">
        <v>367</v>
      </c>
      <c r="H1217" s="4" t="str">
        <f t="shared" si="3"/>
        <v>3785/gal</v>
      </c>
      <c r="I1217" s="4">
        <v>3785.0</v>
      </c>
      <c r="J1217" s="3" t="s">
        <v>2433</v>
      </c>
      <c r="K1217" s="16">
        <v>299.11</v>
      </c>
      <c r="L1217" s="16"/>
    </row>
    <row r="1218" ht="15.75" customHeight="1">
      <c r="A1218" s="17" t="s">
        <v>16</v>
      </c>
      <c r="C1218" s="4" t="s">
        <v>2434</v>
      </c>
      <c r="D1218" s="4" t="s">
        <v>2435</v>
      </c>
      <c r="E1218" s="4"/>
      <c r="F1218" s="18" t="s">
        <v>40</v>
      </c>
      <c r="G1218" s="18" t="s">
        <v>367</v>
      </c>
      <c r="H1218" s="4" t="str">
        <f t="shared" si="3"/>
        <v>5000/Galon</v>
      </c>
      <c r="I1218" s="18">
        <v>5000.0</v>
      </c>
      <c r="J1218" s="19" t="s">
        <v>2436</v>
      </c>
      <c r="K1218" s="16">
        <v>610.205357142857</v>
      </c>
      <c r="L1218" s="16"/>
    </row>
    <row r="1219" ht="15.75" customHeight="1">
      <c r="A1219" s="17" t="s">
        <v>16</v>
      </c>
      <c r="C1219" s="4" t="s">
        <v>38</v>
      </c>
      <c r="D1219" s="4" t="s">
        <v>2437</v>
      </c>
      <c r="E1219" s="4"/>
      <c r="F1219" s="18" t="s">
        <v>40</v>
      </c>
      <c r="G1219" s="18" t="s">
        <v>41</v>
      </c>
      <c r="H1219" s="4" t="str">
        <f t="shared" si="3"/>
        <v>1/roll</v>
      </c>
      <c r="I1219" s="18">
        <v>1.0</v>
      </c>
      <c r="J1219" s="19" t="s">
        <v>2438</v>
      </c>
      <c r="K1219" s="16">
        <v>437.5</v>
      </c>
      <c r="L1219" s="16"/>
    </row>
    <row r="1220" ht="15.75" customHeight="1">
      <c r="A1220" s="17" t="s">
        <v>2037</v>
      </c>
      <c r="C1220" s="4" t="s">
        <v>45</v>
      </c>
      <c r="D1220" s="4" t="s">
        <v>2439</v>
      </c>
      <c r="E1220" s="4"/>
      <c r="F1220" s="18" t="s">
        <v>47</v>
      </c>
      <c r="G1220" s="18" t="s">
        <v>47</v>
      </c>
      <c r="H1220" s="4" t="str">
        <f t="shared" si="3"/>
        <v>1/PC</v>
      </c>
      <c r="I1220" s="18">
        <v>1.0</v>
      </c>
      <c r="J1220" s="19" t="s">
        <v>42</v>
      </c>
      <c r="K1220" s="16">
        <v>38.39</v>
      </c>
      <c r="L1220" s="16"/>
    </row>
    <row r="1221" ht="15.75" customHeight="1">
      <c r="A1221" s="17" t="s">
        <v>2037</v>
      </c>
      <c r="C1221" s="4" t="s">
        <v>2440</v>
      </c>
      <c r="D1221" s="4" t="s">
        <v>2441</v>
      </c>
      <c r="E1221" s="4"/>
      <c r="F1221" s="18" t="s">
        <v>47</v>
      </c>
      <c r="G1221" s="18" t="s">
        <v>47</v>
      </c>
      <c r="H1221" s="4" t="str">
        <f t="shared" si="3"/>
        <v>1/PC</v>
      </c>
      <c r="I1221" s="18">
        <v>1.0</v>
      </c>
      <c r="J1221" s="19" t="s">
        <v>42</v>
      </c>
      <c r="K1221" s="16">
        <v>26.607142857142854</v>
      </c>
      <c r="L1221" s="16"/>
    </row>
    <row r="1222" ht="15.75" customHeight="1">
      <c r="A1222" s="17" t="s">
        <v>16</v>
      </c>
      <c r="C1222" s="4" t="s">
        <v>2442</v>
      </c>
      <c r="D1222" s="4" t="s">
        <v>2443</v>
      </c>
      <c r="E1222" s="4"/>
      <c r="F1222" s="18" t="s">
        <v>40</v>
      </c>
      <c r="G1222" s="18" t="s">
        <v>448</v>
      </c>
      <c r="H1222" s="4" t="str">
        <f t="shared" si="3"/>
        <v>1/PC</v>
      </c>
      <c r="I1222" s="18">
        <v>1.0</v>
      </c>
      <c r="J1222" s="19" t="s">
        <v>42</v>
      </c>
      <c r="K1222" s="16">
        <v>3.526785714285714</v>
      </c>
      <c r="L1222" s="16"/>
    </row>
    <row r="1223" ht="15.75" customHeight="1">
      <c r="A1223" s="17" t="s">
        <v>2037</v>
      </c>
      <c r="C1223" s="4" t="s">
        <v>2444</v>
      </c>
      <c r="D1223" s="4" t="s">
        <v>2445</v>
      </c>
      <c r="E1223" s="4"/>
      <c r="F1223" s="18" t="s">
        <v>47</v>
      </c>
      <c r="G1223" s="18" t="s">
        <v>47</v>
      </c>
      <c r="H1223" s="4" t="str">
        <f t="shared" si="3"/>
        <v>100/Pack</v>
      </c>
      <c r="I1223" s="18">
        <v>100.0</v>
      </c>
      <c r="J1223" s="19" t="s">
        <v>441</v>
      </c>
      <c r="K1223" s="16">
        <v>182.2142857142857</v>
      </c>
      <c r="L1223" s="16"/>
    </row>
    <row r="1224" ht="15.75" customHeight="1">
      <c r="A1224" s="17" t="s">
        <v>2037</v>
      </c>
      <c r="C1224" s="4" t="s">
        <v>2446</v>
      </c>
      <c r="D1224" s="4" t="s">
        <v>2447</v>
      </c>
      <c r="E1224" s="4"/>
      <c r="F1224" s="18" t="s">
        <v>47</v>
      </c>
      <c r="G1224" s="18" t="s">
        <v>47</v>
      </c>
      <c r="H1224" s="4" t="str">
        <f t="shared" si="3"/>
        <v>1/PC</v>
      </c>
      <c r="I1224" s="18">
        <v>1.0</v>
      </c>
      <c r="J1224" s="19" t="s">
        <v>42</v>
      </c>
      <c r="K1224" s="16">
        <v>249.10714285714283</v>
      </c>
      <c r="L1224" s="16"/>
    </row>
    <row r="1225" ht="15.75" customHeight="1">
      <c r="A1225" s="17" t="s">
        <v>2037</v>
      </c>
      <c r="C1225" s="4" t="s">
        <v>2448</v>
      </c>
      <c r="D1225" s="4" t="s">
        <v>2449</v>
      </c>
      <c r="E1225" s="4"/>
      <c r="F1225" s="18" t="s">
        <v>47</v>
      </c>
      <c r="G1225" s="18" t="s">
        <v>47</v>
      </c>
      <c r="H1225" s="4" t="str">
        <f t="shared" si="3"/>
        <v>1/Box</v>
      </c>
      <c r="I1225" s="18">
        <v>1.0</v>
      </c>
      <c r="J1225" s="19" t="s">
        <v>2450</v>
      </c>
      <c r="K1225" s="16">
        <v>415.1785714285714</v>
      </c>
      <c r="L1225" s="16"/>
    </row>
    <row r="1226" ht="15.75" customHeight="1">
      <c r="A1226" s="17" t="s">
        <v>2037</v>
      </c>
      <c r="C1226" s="4" t="s">
        <v>2451</v>
      </c>
      <c r="D1226" s="4" t="s">
        <v>2452</v>
      </c>
      <c r="E1226" s="4"/>
      <c r="F1226" s="18" t="s">
        <v>47</v>
      </c>
      <c r="G1226" s="18" t="s">
        <v>47</v>
      </c>
      <c r="H1226" s="4" t="str">
        <f t="shared" si="3"/>
        <v>1/PC</v>
      </c>
      <c r="I1226" s="4">
        <v>1.0</v>
      </c>
      <c r="J1226" s="3" t="s">
        <v>42</v>
      </c>
      <c r="K1226" s="16">
        <v>414.2857142857142</v>
      </c>
      <c r="L1226" s="16"/>
    </row>
    <row r="1227" ht="15.75" customHeight="1">
      <c r="A1227" s="17" t="s">
        <v>2037</v>
      </c>
      <c r="C1227" s="4" t="s">
        <v>2453</v>
      </c>
      <c r="D1227" s="4" t="s">
        <v>2454</v>
      </c>
      <c r="E1227" s="4"/>
      <c r="F1227" s="18" t="s">
        <v>47</v>
      </c>
      <c r="G1227" s="18" t="s">
        <v>47</v>
      </c>
      <c r="H1227" s="4" t="str">
        <f t="shared" si="3"/>
        <v>1/PC</v>
      </c>
      <c r="I1227" s="4">
        <v>1.0</v>
      </c>
      <c r="J1227" s="3" t="s">
        <v>42</v>
      </c>
      <c r="K1227" s="16">
        <v>160.7142857142857</v>
      </c>
      <c r="L1227" s="16"/>
    </row>
    <row r="1228" ht="15.75" customHeight="1">
      <c r="A1228" s="17" t="s">
        <v>2037</v>
      </c>
      <c r="C1228" s="4" t="s">
        <v>2455</v>
      </c>
      <c r="D1228" s="4" t="s">
        <v>2456</v>
      </c>
      <c r="E1228" s="4"/>
      <c r="F1228" s="18" t="s">
        <v>47</v>
      </c>
      <c r="G1228" s="18" t="s">
        <v>47</v>
      </c>
      <c r="H1228" s="4" t="str">
        <f t="shared" si="3"/>
        <v>1/PC</v>
      </c>
      <c r="I1228" s="4">
        <v>1.0</v>
      </c>
      <c r="J1228" s="3" t="s">
        <v>42</v>
      </c>
      <c r="K1228" s="16">
        <v>160.7142857142857</v>
      </c>
      <c r="L1228" s="16"/>
    </row>
    <row r="1229" ht="15.75" customHeight="1">
      <c r="A1229" s="17" t="s">
        <v>16</v>
      </c>
      <c r="C1229" s="4" t="s">
        <v>196</v>
      </c>
      <c r="D1229" s="4" t="s">
        <v>2457</v>
      </c>
      <c r="E1229" s="4"/>
      <c r="F1229" s="18" t="s">
        <v>40</v>
      </c>
      <c r="G1229" s="18" t="s">
        <v>41</v>
      </c>
      <c r="H1229" s="4" t="str">
        <f t="shared" si="3"/>
        <v>1/PC</v>
      </c>
      <c r="I1229" s="4">
        <v>1.0</v>
      </c>
      <c r="J1229" s="3" t="s">
        <v>42</v>
      </c>
      <c r="K1229" s="16">
        <v>334.82</v>
      </c>
      <c r="L1229" s="16"/>
    </row>
    <row r="1230" ht="15.75" customHeight="1">
      <c r="A1230" s="17" t="s">
        <v>16</v>
      </c>
      <c r="C1230" s="4" t="s">
        <v>200</v>
      </c>
      <c r="D1230" s="4" t="s">
        <v>2458</v>
      </c>
      <c r="E1230" s="4"/>
      <c r="F1230" s="18" t="s">
        <v>40</v>
      </c>
      <c r="G1230" s="18" t="s">
        <v>41</v>
      </c>
      <c r="H1230" s="4" t="str">
        <f t="shared" si="3"/>
        <v>1/PC</v>
      </c>
      <c r="I1230" s="18">
        <v>1.0</v>
      </c>
      <c r="J1230" s="19" t="s">
        <v>42</v>
      </c>
      <c r="K1230" s="16">
        <v>476.79</v>
      </c>
      <c r="L1230" s="16"/>
    </row>
    <row r="1231" ht="15.75" customHeight="1">
      <c r="A1231" s="17" t="s">
        <v>16</v>
      </c>
      <c r="C1231" s="4" t="s">
        <v>2459</v>
      </c>
      <c r="D1231" s="4" t="s">
        <v>2460</v>
      </c>
      <c r="E1231" s="4"/>
      <c r="F1231" s="18" t="s">
        <v>40</v>
      </c>
      <c r="G1231" s="18" t="s">
        <v>41</v>
      </c>
      <c r="H1231" s="4" t="str">
        <f t="shared" si="3"/>
        <v>100/Pack</v>
      </c>
      <c r="I1231" s="18">
        <v>100.0</v>
      </c>
      <c r="J1231" s="19" t="s">
        <v>441</v>
      </c>
      <c r="K1231" s="16">
        <v>1558.04</v>
      </c>
      <c r="L1231" s="16"/>
    </row>
    <row r="1232" ht="15.75" customHeight="1">
      <c r="A1232" s="17" t="s">
        <v>16</v>
      </c>
      <c r="C1232" s="4" t="s">
        <v>2461</v>
      </c>
      <c r="D1232" s="4" t="s">
        <v>2462</v>
      </c>
      <c r="E1232" s="4"/>
      <c r="F1232" s="18" t="s">
        <v>40</v>
      </c>
      <c r="G1232" s="18" t="s">
        <v>41</v>
      </c>
      <c r="H1232" s="4" t="str">
        <f t="shared" si="3"/>
        <v>100/Pack</v>
      </c>
      <c r="I1232" s="18">
        <v>100.0</v>
      </c>
      <c r="J1232" s="19" t="s">
        <v>441</v>
      </c>
      <c r="K1232" s="16">
        <v>763.39</v>
      </c>
      <c r="L1232" s="16"/>
    </row>
    <row r="1233" ht="15.75" customHeight="1">
      <c r="A1233" s="17" t="s">
        <v>2037</v>
      </c>
      <c r="C1233" s="4" t="s">
        <v>2463</v>
      </c>
      <c r="D1233" s="4" t="s">
        <v>2464</v>
      </c>
      <c r="E1233" s="4"/>
      <c r="F1233" s="18" t="s">
        <v>47</v>
      </c>
      <c r="G1233" s="18" t="s">
        <v>47</v>
      </c>
      <c r="H1233" s="4" t="str">
        <f t="shared" si="3"/>
        <v>1/PC</v>
      </c>
      <c r="I1233" s="18">
        <v>1.0</v>
      </c>
      <c r="J1233" s="19" t="s">
        <v>42</v>
      </c>
      <c r="K1233" s="16">
        <v>223.2142857142857</v>
      </c>
      <c r="L1233" s="16"/>
    </row>
    <row r="1234" ht="15.75" customHeight="1">
      <c r="A1234" s="17" t="s">
        <v>2037</v>
      </c>
      <c r="C1234" s="4" t="s">
        <v>2465</v>
      </c>
      <c r="D1234" s="44" t="s">
        <v>2466</v>
      </c>
      <c r="E1234" s="44"/>
      <c r="F1234" s="18" t="s">
        <v>47</v>
      </c>
      <c r="G1234" s="18" t="s">
        <v>47</v>
      </c>
      <c r="H1234" s="4" t="str">
        <f t="shared" si="3"/>
        <v>1/PC</v>
      </c>
      <c r="I1234" s="18">
        <v>1.0</v>
      </c>
      <c r="J1234" s="19" t="s">
        <v>42</v>
      </c>
      <c r="K1234" s="16">
        <v>5.267857142857142</v>
      </c>
      <c r="L1234" s="16"/>
    </row>
    <row r="1235" ht="15.75" customHeight="1">
      <c r="A1235" s="17" t="s">
        <v>2037</v>
      </c>
      <c r="C1235" s="4" t="s">
        <v>2467</v>
      </c>
      <c r="D1235" s="4" t="s">
        <v>2468</v>
      </c>
      <c r="E1235" s="4"/>
      <c r="F1235" s="18" t="s">
        <v>47</v>
      </c>
      <c r="G1235" s="18" t="s">
        <v>47</v>
      </c>
      <c r="H1235" s="4" t="str">
        <f t="shared" si="3"/>
        <v>1/PC</v>
      </c>
      <c r="I1235" s="18">
        <v>1.0</v>
      </c>
      <c r="J1235" s="19" t="s">
        <v>42</v>
      </c>
      <c r="K1235" s="16">
        <v>3366.0714285714284</v>
      </c>
      <c r="L1235" s="16"/>
    </row>
    <row r="1236" ht="15.75" customHeight="1">
      <c r="A1236" s="17" t="s">
        <v>2037</v>
      </c>
      <c r="C1236" s="4" t="s">
        <v>2469</v>
      </c>
      <c r="D1236" s="4" t="s">
        <v>2470</v>
      </c>
      <c r="E1236" s="4"/>
      <c r="F1236" s="18" t="s">
        <v>47</v>
      </c>
      <c r="G1236" s="18" t="s">
        <v>47</v>
      </c>
      <c r="H1236" s="4" t="str">
        <f t="shared" si="3"/>
        <v>1/PC</v>
      </c>
      <c r="I1236" s="18">
        <v>1.0</v>
      </c>
      <c r="J1236" s="19" t="s">
        <v>42</v>
      </c>
      <c r="K1236" s="16">
        <v>4080.3571428571427</v>
      </c>
      <c r="L1236" s="16"/>
    </row>
    <row r="1237" ht="15.75" customHeight="1">
      <c r="A1237" s="17" t="s">
        <v>2037</v>
      </c>
      <c r="C1237" s="4" t="s">
        <v>2471</v>
      </c>
      <c r="D1237" s="4" t="s">
        <v>2472</v>
      </c>
      <c r="E1237" s="4"/>
      <c r="F1237" s="18" t="s">
        <v>47</v>
      </c>
      <c r="G1237" s="18" t="s">
        <v>47</v>
      </c>
      <c r="H1237" s="4" t="str">
        <f t="shared" si="3"/>
        <v>1/PC</v>
      </c>
      <c r="I1237" s="18">
        <v>1.0</v>
      </c>
      <c r="J1237" s="19" t="s">
        <v>42</v>
      </c>
      <c r="K1237" s="16">
        <v>3124.9999999999995</v>
      </c>
      <c r="L1237" s="16"/>
    </row>
    <row r="1238" ht="15.75" customHeight="1">
      <c r="A1238" s="17" t="s">
        <v>2037</v>
      </c>
      <c r="C1238" s="4" t="s">
        <v>2473</v>
      </c>
      <c r="D1238" s="4" t="s">
        <v>2474</v>
      </c>
      <c r="E1238" s="4"/>
      <c r="F1238" s="18" t="s">
        <v>47</v>
      </c>
      <c r="G1238" s="18" t="s">
        <v>47</v>
      </c>
      <c r="H1238" s="4" t="str">
        <f t="shared" si="3"/>
        <v>1/PC</v>
      </c>
      <c r="I1238" s="18">
        <v>1.0</v>
      </c>
      <c r="J1238" s="19" t="s">
        <v>42</v>
      </c>
      <c r="K1238" s="16">
        <v>5098.214285714285</v>
      </c>
      <c r="L1238" s="16"/>
    </row>
    <row r="1239" ht="15.75" customHeight="1">
      <c r="A1239" s="17" t="s">
        <v>2037</v>
      </c>
      <c r="C1239" s="4" t="s">
        <v>2475</v>
      </c>
      <c r="D1239" s="4" t="s">
        <v>2476</v>
      </c>
      <c r="E1239" s="4"/>
      <c r="F1239" s="18" t="s">
        <v>47</v>
      </c>
      <c r="G1239" s="18" t="s">
        <v>47</v>
      </c>
      <c r="H1239" s="4" t="str">
        <f t="shared" si="3"/>
        <v>1/PC</v>
      </c>
      <c r="I1239" s="18">
        <v>1.0</v>
      </c>
      <c r="J1239" s="19" t="s">
        <v>42</v>
      </c>
      <c r="K1239" s="16">
        <v>3423.2142857142853</v>
      </c>
      <c r="L1239" s="16"/>
    </row>
    <row r="1240" ht="15.75" customHeight="1">
      <c r="A1240" s="17" t="s">
        <v>2037</v>
      </c>
      <c r="C1240" s="4" t="s">
        <v>2477</v>
      </c>
      <c r="D1240" s="4" t="s">
        <v>2478</v>
      </c>
      <c r="E1240" s="4"/>
      <c r="F1240" s="18" t="s">
        <v>47</v>
      </c>
      <c r="G1240" s="18" t="s">
        <v>47</v>
      </c>
      <c r="H1240" s="4" t="str">
        <f t="shared" si="3"/>
        <v>1/PC</v>
      </c>
      <c r="I1240" s="18">
        <v>1.0</v>
      </c>
      <c r="J1240" s="19" t="s">
        <v>42</v>
      </c>
      <c r="K1240" s="16">
        <v>89.28571428571428</v>
      </c>
      <c r="L1240" s="16"/>
    </row>
    <row r="1241" ht="15.75" customHeight="1">
      <c r="A1241" s="17" t="s">
        <v>2037</v>
      </c>
      <c r="C1241" s="4" t="s">
        <v>2479</v>
      </c>
      <c r="D1241" s="4" t="s">
        <v>2480</v>
      </c>
      <c r="E1241" s="4"/>
      <c r="F1241" s="18" t="s">
        <v>47</v>
      </c>
      <c r="G1241" s="18" t="s">
        <v>47</v>
      </c>
      <c r="H1241" s="4" t="str">
        <f t="shared" si="3"/>
        <v>1/PC</v>
      </c>
      <c r="I1241" s="4">
        <v>1.0</v>
      </c>
      <c r="J1241" s="3" t="s">
        <v>42</v>
      </c>
      <c r="K1241" s="16">
        <v>89.28571428571428</v>
      </c>
      <c r="L1241" s="16"/>
    </row>
    <row r="1242" ht="15.75" customHeight="1">
      <c r="A1242" s="17" t="s">
        <v>16</v>
      </c>
      <c r="C1242" s="4" t="s">
        <v>2481</v>
      </c>
      <c r="D1242" s="4" t="s">
        <v>2482</v>
      </c>
      <c r="E1242" s="4"/>
      <c r="F1242" s="18" t="s">
        <v>40</v>
      </c>
      <c r="G1242" s="18" t="s">
        <v>448</v>
      </c>
      <c r="H1242" s="4" t="str">
        <f t="shared" si="3"/>
        <v>1/PC</v>
      </c>
      <c r="I1242" s="4">
        <v>1.0</v>
      </c>
      <c r="J1242" s="3" t="s">
        <v>42</v>
      </c>
      <c r="K1242" s="16">
        <v>249.99999999999997</v>
      </c>
      <c r="L1242" s="16"/>
    </row>
    <row r="1243" ht="15.75" customHeight="1">
      <c r="A1243" s="17" t="s">
        <v>2037</v>
      </c>
      <c r="C1243" s="4" t="s">
        <v>2483</v>
      </c>
      <c r="D1243" s="4" t="s">
        <v>2484</v>
      </c>
      <c r="E1243" s="4"/>
      <c r="F1243" s="18" t="s">
        <v>47</v>
      </c>
      <c r="G1243" s="18" t="s">
        <v>47</v>
      </c>
      <c r="H1243" s="4" t="str">
        <f t="shared" si="3"/>
        <v>1/PC</v>
      </c>
      <c r="I1243" s="4">
        <v>1.0</v>
      </c>
      <c r="J1243" s="3" t="s">
        <v>42</v>
      </c>
      <c r="K1243" s="16">
        <v>89.28571428571428</v>
      </c>
      <c r="L1243" s="16"/>
    </row>
    <row r="1244" ht="15.75" customHeight="1">
      <c r="A1244" s="17" t="s">
        <v>16</v>
      </c>
      <c r="C1244" s="4" t="s">
        <v>2485</v>
      </c>
      <c r="D1244" s="4" t="s">
        <v>2486</v>
      </c>
      <c r="E1244" s="4"/>
      <c r="F1244" s="18" t="s">
        <v>40</v>
      </c>
      <c r="G1244" s="18" t="s">
        <v>41</v>
      </c>
      <c r="H1244" s="4" t="str">
        <f t="shared" si="3"/>
        <v>12/PACK</v>
      </c>
      <c r="I1244" s="4">
        <v>12.0</v>
      </c>
      <c r="J1244" s="3" t="s">
        <v>23</v>
      </c>
      <c r="K1244" s="16">
        <v>26.79</v>
      </c>
      <c r="L1244" s="16"/>
    </row>
    <row r="1245" ht="15.75" customHeight="1">
      <c r="A1245" s="17" t="s">
        <v>16</v>
      </c>
      <c r="C1245" s="4" t="s">
        <v>2487</v>
      </c>
      <c r="D1245" s="4" t="s">
        <v>2488</v>
      </c>
      <c r="E1245" s="4"/>
      <c r="F1245" s="18" t="s">
        <v>40</v>
      </c>
      <c r="G1245" s="18" t="s">
        <v>41</v>
      </c>
      <c r="H1245" s="4" t="str">
        <f t="shared" si="3"/>
        <v>1000/PACK</v>
      </c>
      <c r="I1245" s="4">
        <v>1000.0</v>
      </c>
      <c r="J1245" s="3" t="s">
        <v>23</v>
      </c>
      <c r="K1245" s="16">
        <v>241.07</v>
      </c>
      <c r="L1245" s="16"/>
    </row>
    <row r="1246" ht="15.75" customHeight="1">
      <c r="A1246" s="17" t="s">
        <v>2037</v>
      </c>
      <c r="C1246" s="4" t="s">
        <v>2489</v>
      </c>
      <c r="D1246" s="4" t="s">
        <v>2490</v>
      </c>
      <c r="E1246" s="4"/>
      <c r="F1246" s="18" t="s">
        <v>47</v>
      </c>
      <c r="G1246" s="18" t="s">
        <v>47</v>
      </c>
      <c r="H1246" s="4" t="str">
        <f t="shared" si="3"/>
        <v>1/PC</v>
      </c>
      <c r="I1246" s="4">
        <v>1.0</v>
      </c>
      <c r="J1246" s="3" t="s">
        <v>42</v>
      </c>
      <c r="K1246" s="16">
        <v>140.18</v>
      </c>
      <c r="L1246" s="16"/>
    </row>
    <row r="1247" ht="15.75" customHeight="1">
      <c r="A1247" s="17" t="s">
        <v>2037</v>
      </c>
      <c r="C1247" s="4" t="s">
        <v>2491</v>
      </c>
      <c r="D1247" s="4" t="s">
        <v>2492</v>
      </c>
      <c r="E1247" s="4"/>
      <c r="F1247" s="18" t="s">
        <v>47</v>
      </c>
      <c r="G1247" s="18" t="s">
        <v>47</v>
      </c>
      <c r="H1247" s="4" t="str">
        <f t="shared" si="3"/>
        <v>1/PC</v>
      </c>
      <c r="I1247" s="4">
        <v>1.0</v>
      </c>
      <c r="J1247" s="3" t="s">
        <v>42</v>
      </c>
      <c r="K1247" s="16">
        <v>6002.01</v>
      </c>
      <c r="L1247" s="16"/>
    </row>
    <row r="1248" ht="15.75" customHeight="1">
      <c r="A1248" s="17" t="s">
        <v>16</v>
      </c>
      <c r="C1248" s="4" t="s">
        <v>2493</v>
      </c>
      <c r="D1248" s="4" t="s">
        <v>2494</v>
      </c>
      <c r="E1248" s="4"/>
      <c r="F1248" s="18" t="s">
        <v>40</v>
      </c>
      <c r="G1248" s="18" t="s">
        <v>41</v>
      </c>
      <c r="H1248" s="4" t="str">
        <f t="shared" si="3"/>
        <v>1/PC</v>
      </c>
      <c r="I1248" s="4">
        <v>1.0</v>
      </c>
      <c r="J1248" s="3" t="s">
        <v>42</v>
      </c>
      <c r="K1248" s="16">
        <v>38.7</v>
      </c>
      <c r="L1248" s="16"/>
    </row>
    <row r="1249" ht="15.75" customHeight="1">
      <c r="A1249" s="17" t="s">
        <v>16</v>
      </c>
      <c r="C1249" s="4" t="s">
        <v>2495</v>
      </c>
      <c r="D1249" s="4" t="s">
        <v>2496</v>
      </c>
      <c r="E1249" s="4"/>
      <c r="F1249" s="18" t="s">
        <v>40</v>
      </c>
      <c r="G1249" s="18" t="s">
        <v>41</v>
      </c>
      <c r="H1249" s="4" t="str">
        <f t="shared" si="3"/>
        <v>100/Pack</v>
      </c>
      <c r="I1249" s="4">
        <v>100.0</v>
      </c>
      <c r="J1249" s="3" t="s">
        <v>441</v>
      </c>
      <c r="K1249" s="16">
        <v>2321.43</v>
      </c>
      <c r="L1249" s="16"/>
    </row>
    <row r="1250" ht="15.75" customHeight="1">
      <c r="A1250" s="17" t="s">
        <v>16</v>
      </c>
      <c r="C1250" s="4" t="s">
        <v>2497</v>
      </c>
      <c r="D1250" s="4" t="s">
        <v>2498</v>
      </c>
      <c r="E1250" s="4"/>
      <c r="F1250" s="18" t="s">
        <v>40</v>
      </c>
      <c r="G1250" s="18" t="s">
        <v>41</v>
      </c>
      <c r="H1250" s="4" t="str">
        <f t="shared" si="3"/>
        <v>12/PACK</v>
      </c>
      <c r="I1250" s="4">
        <v>12.0</v>
      </c>
      <c r="J1250" s="3" t="s">
        <v>23</v>
      </c>
      <c r="K1250" s="16">
        <v>10.71</v>
      </c>
      <c r="L1250" s="16"/>
    </row>
    <row r="1251" ht="15.75" customHeight="1">
      <c r="A1251" s="17" t="s">
        <v>16</v>
      </c>
      <c r="C1251" s="4" t="s">
        <v>2499</v>
      </c>
      <c r="D1251" s="4" t="s">
        <v>2500</v>
      </c>
      <c r="E1251" s="4"/>
      <c r="F1251" s="18" t="s">
        <v>40</v>
      </c>
      <c r="G1251" s="18" t="s">
        <v>41</v>
      </c>
      <c r="H1251" s="4" t="str">
        <f t="shared" si="3"/>
        <v>50/bundle</v>
      </c>
      <c r="I1251" s="4">
        <v>50.0</v>
      </c>
      <c r="J1251" s="3" t="s">
        <v>2501</v>
      </c>
      <c r="K1251" s="16">
        <v>132.14</v>
      </c>
      <c r="L1251" s="16"/>
    </row>
    <row r="1252" ht="15.75" customHeight="1">
      <c r="A1252" s="17" t="s">
        <v>16</v>
      </c>
      <c r="C1252" s="4" t="s">
        <v>2502</v>
      </c>
      <c r="D1252" s="4" t="s">
        <v>2503</v>
      </c>
      <c r="E1252" s="4"/>
      <c r="F1252" s="18" t="s">
        <v>40</v>
      </c>
      <c r="G1252" s="18" t="s">
        <v>41</v>
      </c>
      <c r="H1252" s="4" t="str">
        <f t="shared" si="3"/>
        <v>100/PC</v>
      </c>
      <c r="I1252" s="4">
        <v>100.0</v>
      </c>
      <c r="J1252" s="3" t="s">
        <v>42</v>
      </c>
      <c r="K1252" s="16">
        <v>17.0</v>
      </c>
      <c r="L1252" s="16"/>
    </row>
    <row r="1253" ht="15.75" customHeight="1">
      <c r="A1253" s="17" t="s">
        <v>16</v>
      </c>
      <c r="C1253" s="4" t="s">
        <v>2504</v>
      </c>
      <c r="D1253" s="4" t="s">
        <v>2505</v>
      </c>
      <c r="E1253" s="4"/>
      <c r="F1253" s="18" t="s">
        <v>40</v>
      </c>
      <c r="G1253" s="18" t="s">
        <v>41</v>
      </c>
      <c r="H1253" s="4" t="str">
        <f t="shared" si="3"/>
        <v>100/BUNDLE</v>
      </c>
      <c r="I1253" s="4">
        <v>100.0</v>
      </c>
      <c r="J1253" s="3" t="s">
        <v>2506</v>
      </c>
      <c r="K1253" s="16">
        <v>107.14</v>
      </c>
      <c r="L1253" s="16"/>
    </row>
    <row r="1254" ht="15.75" customHeight="1">
      <c r="A1254" s="17" t="s">
        <v>16</v>
      </c>
      <c r="C1254" s="4" t="s">
        <v>2507</v>
      </c>
      <c r="D1254" s="4" t="s">
        <v>2508</v>
      </c>
      <c r="E1254" s="4"/>
      <c r="F1254" s="18" t="s">
        <v>40</v>
      </c>
      <c r="G1254" s="18" t="s">
        <v>41</v>
      </c>
      <c r="H1254" s="4" t="str">
        <f t="shared" si="3"/>
        <v>1/PC</v>
      </c>
      <c r="I1254" s="4">
        <v>1.0</v>
      </c>
      <c r="J1254" s="3" t="s">
        <v>42</v>
      </c>
      <c r="K1254" s="16">
        <v>803.57</v>
      </c>
      <c r="L1254" s="16"/>
    </row>
    <row r="1255" ht="15.75" customHeight="1">
      <c r="A1255" s="17" t="s">
        <v>16</v>
      </c>
      <c r="C1255" s="4" t="s">
        <v>2509</v>
      </c>
      <c r="D1255" s="4" t="s">
        <v>2510</v>
      </c>
      <c r="E1255" s="4"/>
      <c r="F1255" s="18" t="s">
        <v>40</v>
      </c>
      <c r="G1255" s="18" t="s">
        <v>41</v>
      </c>
      <c r="H1255" s="4" t="str">
        <f t="shared" si="3"/>
        <v>100/Pack</v>
      </c>
      <c r="I1255" s="4">
        <v>100.0</v>
      </c>
      <c r="J1255" s="3" t="s">
        <v>441</v>
      </c>
      <c r="K1255" s="16">
        <v>401.79</v>
      </c>
      <c r="L1255" s="16"/>
    </row>
    <row r="1256" ht="15.75" customHeight="1">
      <c r="A1256" s="17" t="s">
        <v>16</v>
      </c>
      <c r="C1256" s="4" t="s">
        <v>2511</v>
      </c>
      <c r="D1256" s="4" t="s">
        <v>2512</v>
      </c>
      <c r="E1256" s="4"/>
      <c r="F1256" s="18" t="s">
        <v>40</v>
      </c>
      <c r="G1256" s="18" t="s">
        <v>41</v>
      </c>
      <c r="H1256" s="4" t="str">
        <f t="shared" si="3"/>
        <v>100/Pack</v>
      </c>
      <c r="I1256" s="4">
        <v>100.0</v>
      </c>
      <c r="J1256" s="3" t="s">
        <v>441</v>
      </c>
      <c r="K1256" s="16">
        <v>1160.71</v>
      </c>
      <c r="L1256" s="16"/>
    </row>
    <row r="1257" ht="15.75" customHeight="1">
      <c r="A1257" s="17" t="s">
        <v>16</v>
      </c>
      <c r="C1257" s="4" t="s">
        <v>2513</v>
      </c>
      <c r="D1257" s="4" t="s">
        <v>2514</v>
      </c>
      <c r="E1257" s="4"/>
      <c r="F1257" s="18" t="s">
        <v>40</v>
      </c>
      <c r="G1257" s="18" t="s">
        <v>41</v>
      </c>
      <c r="H1257" s="4" t="str">
        <f t="shared" si="3"/>
        <v>100/Pack</v>
      </c>
      <c r="I1257" s="4">
        <v>100.0</v>
      </c>
      <c r="J1257" s="3" t="s">
        <v>441</v>
      </c>
      <c r="K1257" s="16">
        <v>3080.36</v>
      </c>
      <c r="L1257" s="16"/>
    </row>
    <row r="1258" ht="15.75" customHeight="1">
      <c r="A1258" s="17" t="s">
        <v>16</v>
      </c>
      <c r="C1258" s="4" t="s">
        <v>2515</v>
      </c>
      <c r="D1258" s="4" t="s">
        <v>2516</v>
      </c>
      <c r="E1258" s="4"/>
      <c r="F1258" s="18" t="s">
        <v>40</v>
      </c>
      <c r="G1258" s="18" t="s">
        <v>41</v>
      </c>
      <c r="H1258" s="4" t="str">
        <f t="shared" si="3"/>
        <v>1/PC</v>
      </c>
      <c r="I1258" s="4">
        <v>1.0</v>
      </c>
      <c r="J1258" s="3" t="s">
        <v>42</v>
      </c>
      <c r="K1258" s="16">
        <v>2.23</v>
      </c>
      <c r="L1258" s="16"/>
    </row>
    <row r="1259" ht="15.75" customHeight="1">
      <c r="A1259" s="17" t="s">
        <v>16</v>
      </c>
      <c r="C1259" s="4" t="s">
        <v>2517</v>
      </c>
      <c r="D1259" s="4" t="s">
        <v>2518</v>
      </c>
      <c r="E1259" s="4"/>
      <c r="F1259" s="18" t="s">
        <v>40</v>
      </c>
      <c r="G1259" s="18" t="s">
        <v>41</v>
      </c>
      <c r="H1259" s="4" t="str">
        <f t="shared" si="3"/>
        <v>12/PACK</v>
      </c>
      <c r="I1259" s="4">
        <v>12.0</v>
      </c>
      <c r="J1259" s="3" t="s">
        <v>23</v>
      </c>
      <c r="K1259" s="16">
        <v>16.12</v>
      </c>
      <c r="L1259" s="16"/>
    </row>
    <row r="1260" ht="15.75" customHeight="1">
      <c r="A1260" s="17" t="s">
        <v>16</v>
      </c>
      <c r="C1260" s="4" t="s">
        <v>2519</v>
      </c>
      <c r="D1260" s="4" t="s">
        <v>2520</v>
      </c>
      <c r="E1260" s="4"/>
      <c r="F1260" s="18" t="s">
        <v>40</v>
      </c>
      <c r="G1260" s="18" t="s">
        <v>41</v>
      </c>
      <c r="H1260" s="4" t="str">
        <f t="shared" si="3"/>
        <v>24/PACK</v>
      </c>
      <c r="I1260" s="4">
        <v>24.0</v>
      </c>
      <c r="J1260" s="3" t="s">
        <v>23</v>
      </c>
      <c r="K1260" s="16">
        <v>16.96</v>
      </c>
      <c r="L1260" s="16"/>
    </row>
    <row r="1261" ht="15.75" customHeight="1">
      <c r="A1261" s="17" t="s">
        <v>16</v>
      </c>
      <c r="C1261" s="4" t="s">
        <v>2521</v>
      </c>
      <c r="D1261" s="4" t="s">
        <v>2522</v>
      </c>
      <c r="E1261" s="4"/>
      <c r="F1261" s="18" t="s">
        <v>40</v>
      </c>
      <c r="G1261" s="18" t="s">
        <v>41</v>
      </c>
      <c r="H1261" s="4" t="str">
        <f t="shared" si="3"/>
        <v>100/pack</v>
      </c>
      <c r="I1261" s="4">
        <v>100.0</v>
      </c>
      <c r="J1261" s="3" t="s">
        <v>134</v>
      </c>
      <c r="K1261" s="16">
        <v>21.43</v>
      </c>
      <c r="L1261" s="16"/>
    </row>
    <row r="1262" ht="15.75" customHeight="1">
      <c r="A1262" s="17" t="s">
        <v>16</v>
      </c>
      <c r="C1262" s="4" t="s">
        <v>2523</v>
      </c>
      <c r="D1262" s="4" t="s">
        <v>2524</v>
      </c>
      <c r="E1262" s="4"/>
      <c r="F1262" s="18" t="s">
        <v>40</v>
      </c>
      <c r="G1262" s="18" t="s">
        <v>41</v>
      </c>
      <c r="H1262" s="4" t="str">
        <f t="shared" si="3"/>
        <v>1/Pc</v>
      </c>
      <c r="I1262" s="4">
        <v>1.0</v>
      </c>
      <c r="J1262" s="3" t="s">
        <v>1973</v>
      </c>
      <c r="K1262" s="16">
        <v>80.36</v>
      </c>
      <c r="L1262" s="16"/>
    </row>
    <row r="1263" ht="15.75" customHeight="1">
      <c r="A1263" s="17" t="s">
        <v>16</v>
      </c>
      <c r="C1263" s="4" t="s">
        <v>2525</v>
      </c>
      <c r="D1263" s="4" t="s">
        <v>2526</v>
      </c>
      <c r="E1263" s="4"/>
      <c r="F1263" s="18" t="s">
        <v>40</v>
      </c>
      <c r="G1263" s="18" t="s">
        <v>41</v>
      </c>
      <c r="H1263" s="4" t="str">
        <f t="shared" si="3"/>
        <v>100/Pack</v>
      </c>
      <c r="I1263" s="4">
        <v>100.0</v>
      </c>
      <c r="J1263" s="3" t="s">
        <v>441</v>
      </c>
      <c r="K1263" s="16">
        <v>231.25</v>
      </c>
      <c r="L1263" s="16"/>
    </row>
    <row r="1264" ht="15.75" customHeight="1">
      <c r="A1264" s="17" t="s">
        <v>16</v>
      </c>
      <c r="C1264" s="4" t="s">
        <v>2527</v>
      </c>
      <c r="D1264" s="4" t="s">
        <v>2528</v>
      </c>
      <c r="E1264" s="4"/>
      <c r="F1264" s="18" t="s">
        <v>40</v>
      </c>
      <c r="G1264" s="18" t="s">
        <v>41</v>
      </c>
      <c r="H1264" s="4" t="str">
        <f t="shared" si="3"/>
        <v>50/SLV</v>
      </c>
      <c r="I1264" s="4">
        <v>50.0</v>
      </c>
      <c r="J1264" s="3" t="s">
        <v>2529</v>
      </c>
      <c r="K1264" s="16">
        <v>49.11</v>
      </c>
      <c r="L1264" s="16"/>
    </row>
    <row r="1265" ht="15.75" customHeight="1">
      <c r="A1265" s="17" t="s">
        <v>16</v>
      </c>
      <c r="C1265" s="4" t="s">
        <v>2530</v>
      </c>
      <c r="D1265" s="4" t="s">
        <v>2531</v>
      </c>
      <c r="E1265" s="4"/>
      <c r="F1265" s="18" t="s">
        <v>40</v>
      </c>
      <c r="G1265" s="18" t="s">
        <v>41</v>
      </c>
      <c r="H1265" s="4" t="str">
        <f t="shared" si="3"/>
        <v>100/BOX</v>
      </c>
      <c r="I1265" s="4">
        <v>100.0</v>
      </c>
      <c r="J1265" s="3" t="s">
        <v>734</v>
      </c>
      <c r="K1265" s="16">
        <v>1696.43</v>
      </c>
      <c r="L1265" s="16"/>
    </row>
    <row r="1266" ht="15.75" customHeight="1">
      <c r="A1266" s="17" t="s">
        <v>16</v>
      </c>
      <c r="C1266" s="4" t="s">
        <v>2532</v>
      </c>
      <c r="D1266" s="4" t="s">
        <v>2533</v>
      </c>
      <c r="E1266" s="4"/>
      <c r="F1266" s="18" t="s">
        <v>40</v>
      </c>
      <c r="G1266" s="18" t="s">
        <v>41</v>
      </c>
      <c r="H1266" s="4" t="str">
        <f t="shared" si="3"/>
        <v>1/PC</v>
      </c>
      <c r="I1266" s="4">
        <v>1.0</v>
      </c>
      <c r="J1266" s="3" t="s">
        <v>42</v>
      </c>
      <c r="K1266" s="16">
        <v>0.76</v>
      </c>
      <c r="L1266" s="16"/>
    </row>
    <row r="1267" ht="15.75" customHeight="1">
      <c r="A1267" s="17" t="s">
        <v>16</v>
      </c>
      <c r="C1267" s="4" t="s">
        <v>2534</v>
      </c>
      <c r="D1267" s="4" t="s">
        <v>2535</v>
      </c>
      <c r="E1267" s="4"/>
      <c r="F1267" s="18" t="s">
        <v>40</v>
      </c>
      <c r="G1267" s="18" t="s">
        <v>41</v>
      </c>
      <c r="H1267" s="4" t="str">
        <f t="shared" si="3"/>
        <v>50/BUNDLE</v>
      </c>
      <c r="I1267" s="4">
        <v>50.0</v>
      </c>
      <c r="J1267" s="3" t="s">
        <v>2506</v>
      </c>
      <c r="K1267" s="16">
        <v>3080.36</v>
      </c>
      <c r="L1267" s="16"/>
    </row>
    <row r="1268" ht="15.75" customHeight="1">
      <c r="A1268" s="17" t="s">
        <v>16</v>
      </c>
      <c r="C1268" s="4" t="s">
        <v>2536</v>
      </c>
      <c r="D1268" s="4" t="s">
        <v>2537</v>
      </c>
      <c r="E1268" s="4"/>
      <c r="F1268" s="18" t="s">
        <v>40</v>
      </c>
      <c r="G1268" s="18" t="s">
        <v>41</v>
      </c>
      <c r="H1268" s="4" t="str">
        <f t="shared" si="3"/>
        <v>50/BUNDLE</v>
      </c>
      <c r="I1268" s="4">
        <v>50.0</v>
      </c>
      <c r="J1268" s="3" t="s">
        <v>2506</v>
      </c>
      <c r="K1268" s="16">
        <v>26.56</v>
      </c>
      <c r="L1268" s="16"/>
    </row>
    <row r="1269" ht="15.75" customHeight="1">
      <c r="A1269" s="17" t="s">
        <v>16</v>
      </c>
      <c r="C1269" s="4" t="s">
        <v>2538</v>
      </c>
      <c r="D1269" s="4" t="s">
        <v>2539</v>
      </c>
      <c r="E1269" s="4"/>
      <c r="F1269" s="18" t="s">
        <v>40</v>
      </c>
      <c r="G1269" s="18" t="s">
        <v>41</v>
      </c>
      <c r="H1269" s="4" t="str">
        <f t="shared" si="3"/>
        <v>100/BUNDLE</v>
      </c>
      <c r="I1269" s="4">
        <v>100.0</v>
      </c>
      <c r="J1269" s="3" t="s">
        <v>2506</v>
      </c>
      <c r="K1269" s="16">
        <v>1308.04</v>
      </c>
      <c r="L1269" s="16"/>
    </row>
    <row r="1270" ht="15.75" customHeight="1">
      <c r="A1270" s="17" t="s">
        <v>16</v>
      </c>
      <c r="C1270" s="4" t="s">
        <v>2540</v>
      </c>
      <c r="D1270" s="4" t="s">
        <v>2541</v>
      </c>
      <c r="E1270" s="4"/>
      <c r="F1270" s="18" t="s">
        <v>40</v>
      </c>
      <c r="G1270" s="18" t="s">
        <v>41</v>
      </c>
      <c r="H1270" s="4" t="str">
        <f t="shared" si="3"/>
        <v>1/PC</v>
      </c>
      <c r="I1270" s="4">
        <v>1.0</v>
      </c>
      <c r="J1270" s="3" t="s">
        <v>42</v>
      </c>
      <c r="K1270" s="16">
        <v>3.57</v>
      </c>
      <c r="L1270" s="16"/>
    </row>
    <row r="1271" ht="15.75" customHeight="1">
      <c r="A1271" s="17" t="s">
        <v>16</v>
      </c>
      <c r="C1271" s="4" t="s">
        <v>2542</v>
      </c>
      <c r="D1271" s="4" t="s">
        <v>2543</v>
      </c>
      <c r="E1271" s="4"/>
      <c r="F1271" s="18" t="s">
        <v>40</v>
      </c>
      <c r="G1271" s="18" t="s">
        <v>41</v>
      </c>
      <c r="H1271" s="4" t="str">
        <f t="shared" si="3"/>
        <v>1/SET</v>
      </c>
      <c r="I1271" s="4">
        <v>1.0</v>
      </c>
      <c r="J1271" s="3" t="s">
        <v>1092</v>
      </c>
      <c r="K1271" s="16">
        <v>26.55</v>
      </c>
      <c r="L1271" s="16"/>
    </row>
    <row r="1272" ht="15.75" customHeight="1">
      <c r="A1272" s="17" t="s">
        <v>16</v>
      </c>
      <c r="C1272" s="4" t="s">
        <v>2544</v>
      </c>
      <c r="D1272" s="4" t="s">
        <v>2545</v>
      </c>
      <c r="E1272" s="4"/>
      <c r="F1272" s="18" t="s">
        <v>40</v>
      </c>
      <c r="G1272" s="18" t="s">
        <v>41</v>
      </c>
      <c r="H1272" s="4" t="str">
        <f t="shared" si="3"/>
        <v>1/SET</v>
      </c>
      <c r="I1272" s="4">
        <v>1.0</v>
      </c>
      <c r="J1272" s="3" t="s">
        <v>1092</v>
      </c>
      <c r="K1272" s="16">
        <v>26.79</v>
      </c>
      <c r="L1272" s="16"/>
    </row>
    <row r="1273" ht="15.75" customHeight="1">
      <c r="A1273" s="17" t="s">
        <v>16</v>
      </c>
      <c r="C1273" s="4" t="s">
        <v>2546</v>
      </c>
      <c r="D1273" s="4" t="s">
        <v>2547</v>
      </c>
      <c r="E1273" s="4"/>
      <c r="F1273" s="18" t="s">
        <v>40</v>
      </c>
      <c r="G1273" s="18" t="s">
        <v>41</v>
      </c>
      <c r="H1273" s="4" t="str">
        <f t="shared" si="3"/>
        <v>1/ROLL</v>
      </c>
      <c r="I1273" s="18">
        <v>1.0</v>
      </c>
      <c r="J1273" s="19" t="s">
        <v>44</v>
      </c>
      <c r="K1273" s="16">
        <v>20.54</v>
      </c>
      <c r="L1273" s="16"/>
    </row>
    <row r="1274" ht="15.75" customHeight="1">
      <c r="A1274" s="17" t="s">
        <v>16</v>
      </c>
      <c r="C1274" s="4" t="s">
        <v>2548</v>
      </c>
      <c r="D1274" s="4" t="s">
        <v>2549</v>
      </c>
      <c r="E1274" s="4"/>
      <c r="F1274" s="18" t="s">
        <v>40</v>
      </c>
      <c r="G1274" s="18" t="s">
        <v>41</v>
      </c>
      <c r="H1274" s="4" t="str">
        <f t="shared" si="3"/>
        <v>20/SLV</v>
      </c>
      <c r="I1274" s="4">
        <v>20.0</v>
      </c>
      <c r="J1274" s="3" t="s">
        <v>2529</v>
      </c>
      <c r="K1274" s="16">
        <v>58.93</v>
      </c>
      <c r="L1274" s="16"/>
    </row>
    <row r="1275" ht="15.75" customHeight="1">
      <c r="A1275" s="17" t="s">
        <v>16</v>
      </c>
      <c r="C1275" s="4" t="s">
        <v>2550</v>
      </c>
      <c r="D1275" s="4" t="s">
        <v>2551</v>
      </c>
      <c r="E1275" s="4"/>
      <c r="F1275" s="18" t="s">
        <v>40</v>
      </c>
      <c r="G1275" s="18" t="s">
        <v>41</v>
      </c>
      <c r="H1275" s="4" t="str">
        <f t="shared" si="3"/>
        <v>20/PACK</v>
      </c>
      <c r="I1275" s="18">
        <v>20.0</v>
      </c>
      <c r="J1275" s="19" t="s">
        <v>23</v>
      </c>
      <c r="K1275" s="16">
        <v>10.71</v>
      </c>
      <c r="L1275" s="16"/>
    </row>
    <row r="1276" ht="15.75" customHeight="1">
      <c r="A1276" s="17" t="s">
        <v>16</v>
      </c>
      <c r="C1276" s="4" t="s">
        <v>2552</v>
      </c>
      <c r="D1276" s="4" t="s">
        <v>2553</v>
      </c>
      <c r="E1276" s="4"/>
      <c r="F1276" s="18" t="s">
        <v>40</v>
      </c>
      <c r="G1276" s="18" t="s">
        <v>41</v>
      </c>
      <c r="H1276" s="4" t="str">
        <f t="shared" si="3"/>
        <v>500/PACK</v>
      </c>
      <c r="I1276" s="18">
        <v>500.0</v>
      </c>
      <c r="J1276" s="19" t="s">
        <v>23</v>
      </c>
      <c r="K1276" s="16">
        <v>120.53571428571428</v>
      </c>
      <c r="L1276" s="16"/>
    </row>
    <row r="1277" ht="15.75" customHeight="1">
      <c r="A1277" s="17" t="s">
        <v>16</v>
      </c>
      <c r="C1277" s="4" t="s">
        <v>2554</v>
      </c>
      <c r="D1277" s="44" t="s">
        <v>2554</v>
      </c>
      <c r="E1277" s="44"/>
      <c r="F1277" s="18" t="s">
        <v>40</v>
      </c>
      <c r="G1277" s="18" t="s">
        <v>41</v>
      </c>
      <c r="H1277" s="4" t="str">
        <f t="shared" si="3"/>
        <v>16/box</v>
      </c>
      <c r="I1277" s="18">
        <v>16.0</v>
      </c>
      <c r="J1277" s="19" t="s">
        <v>1907</v>
      </c>
      <c r="K1277" s="16">
        <v>237.0</v>
      </c>
      <c r="L1277" s="16"/>
    </row>
    <row r="1278" ht="15.75" customHeight="1">
      <c r="A1278" s="17" t="s">
        <v>16</v>
      </c>
      <c r="C1278" s="4" t="s">
        <v>2555</v>
      </c>
      <c r="D1278" s="4" t="s">
        <v>2556</v>
      </c>
      <c r="E1278" s="4"/>
      <c r="F1278" s="18" t="s">
        <v>40</v>
      </c>
      <c r="G1278" s="18" t="s">
        <v>41</v>
      </c>
      <c r="H1278" s="4" t="str">
        <f t="shared" si="3"/>
        <v>1/PC</v>
      </c>
      <c r="I1278" s="4">
        <v>1.0</v>
      </c>
      <c r="J1278" s="3" t="s">
        <v>42</v>
      </c>
      <c r="K1278" s="16">
        <v>0.892857142857143</v>
      </c>
      <c r="L1278" s="16"/>
    </row>
    <row r="1279" ht="15.75" customHeight="1">
      <c r="A1279" s="17" t="s">
        <v>16</v>
      </c>
      <c r="C1279" s="4" t="s">
        <v>2557</v>
      </c>
      <c r="D1279" s="4" t="s">
        <v>2558</v>
      </c>
      <c r="E1279" s="4"/>
      <c r="F1279" s="18" t="s">
        <v>40</v>
      </c>
      <c r="G1279" s="18" t="s">
        <v>41</v>
      </c>
      <c r="H1279" s="4" t="str">
        <f t="shared" si="3"/>
        <v>100/BUNDLE</v>
      </c>
      <c r="I1279" s="18">
        <v>100.0</v>
      </c>
      <c r="J1279" s="19" t="s">
        <v>2506</v>
      </c>
      <c r="K1279" s="16">
        <v>151.78571428571428</v>
      </c>
      <c r="L1279" s="16"/>
    </row>
    <row r="1280" ht="15.75" customHeight="1">
      <c r="A1280" s="17" t="s">
        <v>2037</v>
      </c>
      <c r="C1280" s="4" t="s">
        <v>2559</v>
      </c>
      <c r="D1280" s="4" t="s">
        <v>2560</v>
      </c>
      <c r="E1280" s="4"/>
      <c r="F1280" s="18" t="s">
        <v>47</v>
      </c>
      <c r="G1280" s="18" t="s">
        <v>47</v>
      </c>
      <c r="H1280" s="4" t="str">
        <f t="shared" si="3"/>
        <v>1/PC</v>
      </c>
      <c r="I1280" s="18">
        <v>1.0</v>
      </c>
      <c r="J1280" s="19" t="s">
        <v>42</v>
      </c>
      <c r="K1280" s="16">
        <v>145.0</v>
      </c>
      <c r="L1280" s="16"/>
    </row>
    <row r="1281" ht="15.75" customHeight="1">
      <c r="A1281" s="17" t="s">
        <v>2037</v>
      </c>
      <c r="C1281" s="4" t="s">
        <v>2561</v>
      </c>
      <c r="D1281" s="4" t="s">
        <v>2562</v>
      </c>
      <c r="E1281" s="4"/>
      <c r="F1281" s="18" t="s">
        <v>47</v>
      </c>
      <c r="G1281" s="18" t="s">
        <v>47</v>
      </c>
      <c r="H1281" s="4" t="str">
        <f t="shared" si="3"/>
        <v>1/PC</v>
      </c>
      <c r="I1281" s="18">
        <v>1.0</v>
      </c>
      <c r="J1281" s="19" t="s">
        <v>42</v>
      </c>
      <c r="K1281" s="16">
        <v>290.18</v>
      </c>
      <c r="L1281" s="16"/>
    </row>
    <row r="1282" ht="15.75" customHeight="1">
      <c r="A1282" s="17" t="s">
        <v>2037</v>
      </c>
      <c r="C1282" s="4" t="s">
        <v>2563</v>
      </c>
      <c r="D1282" s="4" t="s">
        <v>2564</v>
      </c>
      <c r="E1282" s="4"/>
      <c r="F1282" s="18" t="s">
        <v>47</v>
      </c>
      <c r="G1282" s="18" t="s">
        <v>47</v>
      </c>
      <c r="H1282" s="4" t="str">
        <f t="shared" si="3"/>
        <v>1/PC</v>
      </c>
      <c r="I1282" s="18">
        <v>1.0</v>
      </c>
      <c r="J1282" s="19" t="s">
        <v>42</v>
      </c>
      <c r="K1282" s="16">
        <v>369.6428571428571</v>
      </c>
      <c r="L1282" s="16"/>
    </row>
    <row r="1283" ht="15.75" customHeight="1">
      <c r="A1283" s="17" t="s">
        <v>2037</v>
      </c>
      <c r="C1283" s="4" t="s">
        <v>2565</v>
      </c>
      <c r="D1283" s="4" t="s">
        <v>2566</v>
      </c>
      <c r="E1283" s="4"/>
      <c r="F1283" s="18" t="s">
        <v>47</v>
      </c>
      <c r="G1283" s="18" t="s">
        <v>47</v>
      </c>
      <c r="H1283" s="4" t="str">
        <f t="shared" si="3"/>
        <v>1/PC</v>
      </c>
      <c r="I1283" s="4">
        <v>1.0</v>
      </c>
      <c r="J1283" s="3" t="s">
        <v>42</v>
      </c>
      <c r="K1283" s="16">
        <v>686.6071428571428</v>
      </c>
      <c r="L1283" s="16"/>
    </row>
    <row r="1284" ht="15.75" customHeight="1">
      <c r="A1284" s="17" t="s">
        <v>16</v>
      </c>
      <c r="C1284" s="4" t="s">
        <v>2567</v>
      </c>
      <c r="D1284" s="4" t="s">
        <v>2568</v>
      </c>
      <c r="E1284" s="4"/>
      <c r="F1284" s="18" t="s">
        <v>40</v>
      </c>
      <c r="G1284" s="18" t="s">
        <v>367</v>
      </c>
      <c r="H1284" s="4" t="str">
        <f t="shared" si="3"/>
        <v>1000/KG</v>
      </c>
      <c r="I1284" s="4">
        <v>1000.0</v>
      </c>
      <c r="J1284" s="3" t="s">
        <v>35</v>
      </c>
      <c r="K1284" s="16">
        <v>157.1428</v>
      </c>
      <c r="L1284" s="16"/>
    </row>
    <row r="1285" ht="15.75" customHeight="1">
      <c r="A1285" s="17" t="s">
        <v>16</v>
      </c>
      <c r="C1285" s="4" t="s">
        <v>334</v>
      </c>
      <c r="D1285" s="4" t="s">
        <v>2569</v>
      </c>
      <c r="E1285" s="4"/>
      <c r="F1285" s="18" t="s">
        <v>40</v>
      </c>
      <c r="G1285" s="18" t="s">
        <v>41</v>
      </c>
      <c r="H1285" s="4" t="str">
        <f t="shared" si="3"/>
        <v>1/ROLL</v>
      </c>
      <c r="I1285" s="4">
        <v>1.0</v>
      </c>
      <c r="J1285" s="3" t="s">
        <v>44</v>
      </c>
      <c r="K1285" s="16">
        <v>415.1785714285714</v>
      </c>
      <c r="L1285" s="16"/>
    </row>
    <row r="1286" ht="15.75" customHeight="1">
      <c r="A1286" s="17" t="s">
        <v>16</v>
      </c>
      <c r="C1286" s="4" t="s">
        <v>2570</v>
      </c>
      <c r="D1286" s="4" t="s">
        <v>2571</v>
      </c>
      <c r="E1286" s="4"/>
      <c r="F1286" s="18" t="s">
        <v>40</v>
      </c>
      <c r="G1286" s="18" t="s">
        <v>448</v>
      </c>
      <c r="H1286" s="4" t="str">
        <f t="shared" si="3"/>
        <v>1/PC</v>
      </c>
      <c r="I1286" s="18">
        <v>1.0</v>
      </c>
      <c r="J1286" s="19" t="s">
        <v>42</v>
      </c>
      <c r="K1286" s="16">
        <v>58.04</v>
      </c>
      <c r="L1286" s="16"/>
    </row>
    <row r="1287" ht="15.75" customHeight="1">
      <c r="A1287" s="17" t="s">
        <v>2037</v>
      </c>
      <c r="C1287" s="4" t="s">
        <v>2572</v>
      </c>
      <c r="D1287" s="4" t="s">
        <v>2573</v>
      </c>
      <c r="E1287" s="4"/>
      <c r="F1287" s="18" t="s">
        <v>178</v>
      </c>
      <c r="G1287" s="18" t="s">
        <v>178</v>
      </c>
      <c r="H1287" s="4" t="str">
        <f t="shared" si="3"/>
        <v>1/SET</v>
      </c>
      <c r="I1287" s="4">
        <v>1.0</v>
      </c>
      <c r="J1287" s="3" t="s">
        <v>1092</v>
      </c>
      <c r="K1287" s="16">
        <v>78.57</v>
      </c>
      <c r="L1287" s="16"/>
    </row>
    <row r="1288" ht="15.75" customHeight="1">
      <c r="A1288" s="17" t="s">
        <v>16</v>
      </c>
      <c r="C1288" s="4" t="s">
        <v>2574</v>
      </c>
      <c r="D1288" s="4" t="s">
        <v>2575</v>
      </c>
      <c r="E1288" s="4"/>
      <c r="F1288" s="18" t="s">
        <v>40</v>
      </c>
      <c r="G1288" s="18" t="s">
        <v>41</v>
      </c>
      <c r="H1288" s="4" t="str">
        <f t="shared" si="3"/>
        <v>20/SLV</v>
      </c>
      <c r="I1288" s="4">
        <v>20.0</v>
      </c>
      <c r="J1288" s="3" t="s">
        <v>2529</v>
      </c>
      <c r="K1288" s="16">
        <v>80.36</v>
      </c>
      <c r="L1288" s="16"/>
    </row>
    <row r="1289" ht="15.75" customHeight="1">
      <c r="A1289" s="17" t="s">
        <v>16</v>
      </c>
      <c r="C1289" s="4" t="s">
        <v>2576</v>
      </c>
      <c r="D1289" s="4" t="s">
        <v>2577</v>
      </c>
      <c r="E1289" s="4"/>
      <c r="F1289" s="18" t="s">
        <v>40</v>
      </c>
      <c r="G1289" s="18" t="s">
        <v>41</v>
      </c>
      <c r="H1289" s="4" t="str">
        <f t="shared" si="3"/>
        <v>20/SLV</v>
      </c>
      <c r="I1289" s="4">
        <v>20.0</v>
      </c>
      <c r="J1289" s="3" t="s">
        <v>2529</v>
      </c>
      <c r="K1289" s="16">
        <v>58.03571428571428</v>
      </c>
      <c r="L1289" s="16"/>
    </row>
    <row r="1290" ht="15.75" customHeight="1">
      <c r="A1290" s="17" t="s">
        <v>16</v>
      </c>
      <c r="C1290" s="4" t="s">
        <v>2576</v>
      </c>
      <c r="D1290" s="4" t="s">
        <v>2578</v>
      </c>
      <c r="E1290" s="4"/>
      <c r="F1290" s="18" t="s">
        <v>40</v>
      </c>
      <c r="G1290" s="18" t="s">
        <v>41</v>
      </c>
      <c r="H1290" s="4" t="str">
        <f t="shared" si="3"/>
        <v>20/SLV</v>
      </c>
      <c r="I1290" s="18">
        <v>20.0</v>
      </c>
      <c r="J1290" s="19" t="s">
        <v>2529</v>
      </c>
      <c r="K1290" s="16">
        <v>58.04</v>
      </c>
      <c r="L1290" s="16"/>
    </row>
    <row r="1291" ht="15.75" customHeight="1">
      <c r="A1291" s="17" t="s">
        <v>16</v>
      </c>
      <c r="C1291" s="4" t="s">
        <v>2579</v>
      </c>
      <c r="D1291" s="4" t="s">
        <v>2580</v>
      </c>
      <c r="E1291" s="4"/>
      <c r="F1291" s="18" t="s">
        <v>40</v>
      </c>
      <c r="G1291" s="18" t="s">
        <v>41</v>
      </c>
      <c r="H1291" s="4" t="str">
        <f t="shared" si="3"/>
        <v>50/SLV</v>
      </c>
      <c r="I1291" s="4">
        <v>50.0</v>
      </c>
      <c r="J1291" s="3" t="s">
        <v>2529</v>
      </c>
      <c r="K1291" s="16">
        <v>81.17</v>
      </c>
      <c r="L1291" s="16"/>
    </row>
    <row r="1292" ht="15.75" customHeight="1">
      <c r="A1292" s="17" t="s">
        <v>16</v>
      </c>
      <c r="C1292" s="4" t="s">
        <v>2581</v>
      </c>
      <c r="D1292" s="4" t="s">
        <v>2582</v>
      </c>
      <c r="E1292" s="4"/>
      <c r="F1292" s="18" t="s">
        <v>40</v>
      </c>
      <c r="G1292" s="18" t="s">
        <v>41</v>
      </c>
      <c r="H1292" s="4" t="str">
        <f t="shared" si="3"/>
        <v>50/SLV</v>
      </c>
      <c r="I1292" s="18">
        <v>50.0</v>
      </c>
      <c r="J1292" s="19" t="s">
        <v>2529</v>
      </c>
      <c r="K1292" s="16">
        <v>93.33</v>
      </c>
      <c r="L1292" s="16"/>
    </row>
    <row r="1293" ht="15.75" customHeight="1">
      <c r="A1293" s="17" t="s">
        <v>2037</v>
      </c>
      <c r="C1293" s="4" t="s">
        <v>2583</v>
      </c>
      <c r="D1293" s="4" t="s">
        <v>2584</v>
      </c>
      <c r="E1293" s="4"/>
      <c r="F1293" s="18" t="s">
        <v>47</v>
      </c>
      <c r="G1293" s="18" t="s">
        <v>47</v>
      </c>
      <c r="H1293" s="4" t="str">
        <f t="shared" si="3"/>
        <v>1/PC</v>
      </c>
      <c r="I1293" s="18">
        <v>1.0</v>
      </c>
      <c r="J1293" s="19" t="s">
        <v>42</v>
      </c>
      <c r="K1293" s="16">
        <v>285.71428571428567</v>
      </c>
      <c r="L1293" s="16"/>
    </row>
    <row r="1294" ht="15.75" customHeight="1">
      <c r="A1294" s="17" t="s">
        <v>16</v>
      </c>
      <c r="C1294" s="4" t="s">
        <v>2585</v>
      </c>
      <c r="D1294" s="4" t="s">
        <v>2586</v>
      </c>
      <c r="E1294" s="4"/>
      <c r="F1294" s="18" t="s">
        <v>40</v>
      </c>
      <c r="G1294" s="18" t="s">
        <v>41</v>
      </c>
      <c r="H1294" s="4" t="str">
        <f t="shared" si="3"/>
        <v>50/box</v>
      </c>
      <c r="I1294" s="18">
        <v>50.0</v>
      </c>
      <c r="J1294" s="19" t="s">
        <v>1907</v>
      </c>
      <c r="K1294" s="16">
        <v>3125.0</v>
      </c>
      <c r="L1294" s="16"/>
    </row>
    <row r="1295" ht="15.75" customHeight="1">
      <c r="A1295" s="17" t="s">
        <v>2037</v>
      </c>
      <c r="C1295" s="4" t="s">
        <v>2587</v>
      </c>
      <c r="D1295" s="4" t="s">
        <v>2588</v>
      </c>
      <c r="E1295" s="4"/>
      <c r="F1295" s="18" t="s">
        <v>47</v>
      </c>
      <c r="G1295" s="18" t="s">
        <v>47</v>
      </c>
      <c r="H1295" s="4" t="str">
        <f t="shared" si="3"/>
        <v>1/PC</v>
      </c>
      <c r="I1295" s="18">
        <v>1.0</v>
      </c>
      <c r="J1295" s="19" t="s">
        <v>42</v>
      </c>
      <c r="K1295" s="16">
        <v>361.60714285714283</v>
      </c>
      <c r="L1295" s="16"/>
    </row>
    <row r="1296" ht="15.75" customHeight="1">
      <c r="A1296" s="17" t="s">
        <v>16</v>
      </c>
      <c r="C1296" s="4" t="s">
        <v>2589</v>
      </c>
      <c r="D1296" s="4" t="s">
        <v>2590</v>
      </c>
      <c r="E1296" s="4"/>
      <c r="F1296" s="18" t="s">
        <v>40</v>
      </c>
      <c r="G1296" s="18" t="s">
        <v>367</v>
      </c>
      <c r="H1296" s="4" t="str">
        <f t="shared" si="3"/>
        <v>1/PC</v>
      </c>
      <c r="I1296" s="18">
        <v>1.0</v>
      </c>
      <c r="J1296" s="19" t="s">
        <v>42</v>
      </c>
      <c r="K1296" s="16">
        <v>352.6785714285714</v>
      </c>
      <c r="L1296" s="16"/>
    </row>
    <row r="1297" ht="15.75" customHeight="1">
      <c r="A1297" s="17" t="s">
        <v>2037</v>
      </c>
      <c r="C1297" s="4" t="s">
        <v>2591</v>
      </c>
      <c r="D1297" s="4" t="s">
        <v>2592</v>
      </c>
      <c r="E1297" s="4"/>
      <c r="F1297" s="18" t="s">
        <v>47</v>
      </c>
      <c r="G1297" s="18" t="s">
        <v>47</v>
      </c>
      <c r="H1297" s="4" t="str">
        <f t="shared" si="3"/>
        <v>1/Pc</v>
      </c>
      <c r="I1297" s="18">
        <v>1.0</v>
      </c>
      <c r="J1297" s="19" t="s">
        <v>1973</v>
      </c>
      <c r="K1297" s="16">
        <v>321.42857</v>
      </c>
      <c r="L1297" s="16"/>
    </row>
    <row r="1298" ht="15.75" customHeight="1">
      <c r="A1298" s="17" t="s">
        <v>2037</v>
      </c>
      <c r="C1298" s="4" t="s">
        <v>2593</v>
      </c>
      <c r="D1298" s="18" t="s">
        <v>2594</v>
      </c>
      <c r="E1298" s="18"/>
      <c r="F1298" s="18" t="s">
        <v>47</v>
      </c>
      <c r="G1298" s="18" t="s">
        <v>47</v>
      </c>
      <c r="H1298" s="4" t="str">
        <f t="shared" si="3"/>
        <v>1/Pc</v>
      </c>
      <c r="I1298" s="18">
        <v>1.0</v>
      </c>
      <c r="J1298" s="19" t="s">
        <v>1973</v>
      </c>
      <c r="K1298" s="16">
        <v>530.3571428571428</v>
      </c>
      <c r="L1298" s="16"/>
    </row>
    <row r="1299" ht="15.75" customHeight="1">
      <c r="A1299" s="17" t="s">
        <v>2037</v>
      </c>
      <c r="C1299" s="4" t="s">
        <v>2595</v>
      </c>
      <c r="D1299" s="4" t="s">
        <v>2596</v>
      </c>
      <c r="E1299" s="4"/>
      <c r="F1299" s="18" t="s">
        <v>47</v>
      </c>
      <c r="G1299" s="18" t="s">
        <v>47</v>
      </c>
      <c r="H1299" s="4" t="str">
        <f t="shared" si="3"/>
        <v>1/Pc</v>
      </c>
      <c r="I1299" s="18">
        <v>1.0</v>
      </c>
      <c r="J1299" s="19" t="s">
        <v>1973</v>
      </c>
      <c r="K1299" s="16">
        <v>530.3571428571428</v>
      </c>
      <c r="L1299" s="16"/>
    </row>
    <row r="1300" ht="15.75" customHeight="1">
      <c r="A1300" s="17" t="s">
        <v>2037</v>
      </c>
      <c r="C1300" s="4" t="s">
        <v>2597</v>
      </c>
      <c r="D1300" s="4" t="s">
        <v>2598</v>
      </c>
      <c r="E1300" s="4"/>
      <c r="F1300" s="18" t="s">
        <v>47</v>
      </c>
      <c r="G1300" s="18" t="s">
        <v>47</v>
      </c>
      <c r="H1300" s="4" t="str">
        <f t="shared" si="3"/>
        <v>1/Pc</v>
      </c>
      <c r="I1300" s="18">
        <v>1.0</v>
      </c>
      <c r="J1300" s="3" t="s">
        <v>1973</v>
      </c>
      <c r="K1300" s="16">
        <v>530.3571428571428</v>
      </c>
      <c r="L1300" s="16"/>
    </row>
    <row r="1301" ht="15.75" customHeight="1">
      <c r="A1301" s="17" t="s">
        <v>2037</v>
      </c>
      <c r="C1301" s="4" t="s">
        <v>2599</v>
      </c>
      <c r="D1301" s="4" t="s">
        <v>2600</v>
      </c>
      <c r="E1301" s="4"/>
      <c r="F1301" s="18" t="s">
        <v>47</v>
      </c>
      <c r="G1301" s="18" t="s">
        <v>47</v>
      </c>
      <c r="H1301" s="4" t="str">
        <f t="shared" si="3"/>
        <v>1/Pc</v>
      </c>
      <c r="I1301" s="18">
        <v>1.0</v>
      </c>
      <c r="J1301" s="19" t="s">
        <v>1973</v>
      </c>
      <c r="K1301" s="16">
        <v>274.10714285714283</v>
      </c>
      <c r="L1301" s="16"/>
    </row>
    <row r="1302" ht="15.75" customHeight="1">
      <c r="A1302" s="17" t="s">
        <v>2037</v>
      </c>
      <c r="C1302" s="4" t="s">
        <v>2601</v>
      </c>
      <c r="D1302" s="4" t="s">
        <v>2602</v>
      </c>
      <c r="E1302" s="4"/>
      <c r="F1302" s="18" t="s">
        <v>47</v>
      </c>
      <c r="G1302" s="18" t="s">
        <v>47</v>
      </c>
      <c r="H1302" s="4" t="str">
        <f t="shared" si="3"/>
        <v>1/Pc</v>
      </c>
      <c r="I1302" s="18">
        <v>1.0</v>
      </c>
      <c r="J1302" s="19" t="s">
        <v>1973</v>
      </c>
      <c r="K1302" s="16">
        <v>274.10714285714283</v>
      </c>
      <c r="L1302" s="16"/>
    </row>
    <row r="1303" ht="15.75" customHeight="1">
      <c r="A1303" s="17" t="s">
        <v>2037</v>
      </c>
      <c r="C1303" s="4" t="s">
        <v>2603</v>
      </c>
      <c r="D1303" s="4" t="s">
        <v>2604</v>
      </c>
      <c r="E1303" s="4"/>
      <c r="F1303" s="18" t="s">
        <v>47</v>
      </c>
      <c r="G1303" s="18" t="s">
        <v>47</v>
      </c>
      <c r="H1303" s="4" t="str">
        <f t="shared" si="3"/>
        <v>1/Pc</v>
      </c>
      <c r="I1303" s="18">
        <v>1.0</v>
      </c>
      <c r="J1303" s="19" t="s">
        <v>1973</v>
      </c>
      <c r="K1303" s="16">
        <v>499.11</v>
      </c>
      <c r="L1303" s="16"/>
    </row>
    <row r="1304" ht="15.75" customHeight="1">
      <c r="A1304" s="17" t="s">
        <v>2037</v>
      </c>
      <c r="C1304" s="4" t="s">
        <v>2605</v>
      </c>
      <c r="D1304" s="18" t="s">
        <v>2606</v>
      </c>
      <c r="E1304" s="18"/>
      <c r="F1304" s="18" t="s">
        <v>47</v>
      </c>
      <c r="G1304" s="18" t="s">
        <v>47</v>
      </c>
      <c r="H1304" s="4" t="str">
        <f t="shared" si="3"/>
        <v>1/Pc</v>
      </c>
      <c r="I1304" s="18">
        <v>1.0</v>
      </c>
      <c r="J1304" s="19" t="s">
        <v>1973</v>
      </c>
      <c r="K1304" s="16">
        <v>257.1428571428571</v>
      </c>
      <c r="L1304" s="16"/>
    </row>
    <row r="1305" ht="15.75" customHeight="1">
      <c r="A1305" s="17" t="s">
        <v>2037</v>
      </c>
      <c r="C1305" s="4" t="s">
        <v>2607</v>
      </c>
      <c r="D1305" s="18" t="s">
        <v>2608</v>
      </c>
      <c r="E1305" s="18"/>
      <c r="F1305" s="18" t="s">
        <v>47</v>
      </c>
      <c r="G1305" s="18" t="s">
        <v>47</v>
      </c>
      <c r="H1305" s="4" t="str">
        <f t="shared" si="3"/>
        <v>1/Pc</v>
      </c>
      <c r="I1305" s="18">
        <v>1.0</v>
      </c>
      <c r="J1305" s="19" t="s">
        <v>1973</v>
      </c>
      <c r="K1305" s="16">
        <v>213.3928571428571</v>
      </c>
      <c r="L1305" s="16"/>
    </row>
    <row r="1306" ht="15.75" customHeight="1">
      <c r="A1306" s="17" t="s">
        <v>2037</v>
      </c>
      <c r="C1306" s="4" t="s">
        <v>2609</v>
      </c>
      <c r="D1306" s="18" t="s">
        <v>2610</v>
      </c>
      <c r="E1306" s="18"/>
      <c r="F1306" s="18" t="s">
        <v>47</v>
      </c>
      <c r="G1306" s="18" t="s">
        <v>47</v>
      </c>
      <c r="H1306" s="4" t="str">
        <f t="shared" si="3"/>
        <v>1/Pc</v>
      </c>
      <c r="I1306" s="18">
        <v>1.0</v>
      </c>
      <c r="J1306" s="3" t="s">
        <v>1973</v>
      </c>
      <c r="K1306" s="16">
        <v>213.3928571428571</v>
      </c>
      <c r="L1306" s="16"/>
    </row>
    <row r="1307" ht="15.75" customHeight="1">
      <c r="A1307" s="17" t="s">
        <v>2037</v>
      </c>
      <c r="C1307" s="4" t="s">
        <v>2611</v>
      </c>
      <c r="D1307" s="18" t="s">
        <v>2612</v>
      </c>
      <c r="E1307" s="18"/>
      <c r="F1307" s="18" t="s">
        <v>47</v>
      </c>
      <c r="G1307" s="18" t="s">
        <v>47</v>
      </c>
      <c r="H1307" s="4" t="str">
        <f t="shared" si="3"/>
        <v>1/Pc</v>
      </c>
      <c r="I1307" s="18">
        <v>1.0</v>
      </c>
      <c r="J1307" s="19" t="s">
        <v>1973</v>
      </c>
      <c r="K1307" s="16">
        <v>257.1428571428571</v>
      </c>
      <c r="L1307" s="16"/>
    </row>
    <row r="1308" ht="15.75" customHeight="1">
      <c r="A1308" s="17" t="s">
        <v>2037</v>
      </c>
      <c r="C1308" s="4" t="s">
        <v>2613</v>
      </c>
      <c r="D1308" s="18" t="s">
        <v>2614</v>
      </c>
      <c r="E1308" s="18"/>
      <c r="F1308" s="18" t="s">
        <v>47</v>
      </c>
      <c r="G1308" s="18" t="s">
        <v>47</v>
      </c>
      <c r="H1308" s="4" t="str">
        <f t="shared" si="3"/>
        <v>1/Pc</v>
      </c>
      <c r="I1308" s="18">
        <v>1.0</v>
      </c>
      <c r="J1308" s="19" t="s">
        <v>1973</v>
      </c>
      <c r="K1308" s="16">
        <v>213.3928571428571</v>
      </c>
      <c r="L1308" s="16"/>
    </row>
    <row r="1309" ht="15.75" customHeight="1">
      <c r="A1309" s="17" t="s">
        <v>2037</v>
      </c>
      <c r="C1309" s="4" t="s">
        <v>2615</v>
      </c>
      <c r="D1309" s="18" t="s">
        <v>2616</v>
      </c>
      <c r="E1309" s="18"/>
      <c r="F1309" s="18" t="s">
        <v>47</v>
      </c>
      <c r="G1309" s="18" t="s">
        <v>47</v>
      </c>
      <c r="H1309" s="4" t="str">
        <f t="shared" si="3"/>
        <v>1/Pc</v>
      </c>
      <c r="I1309" s="18">
        <v>1.0</v>
      </c>
      <c r="J1309" s="19" t="s">
        <v>1973</v>
      </c>
      <c r="K1309" s="16">
        <v>499.11</v>
      </c>
      <c r="L1309" s="16"/>
    </row>
    <row r="1310" ht="15.75" customHeight="1">
      <c r="A1310" s="17" t="s">
        <v>2037</v>
      </c>
      <c r="C1310" s="4" t="s">
        <v>2617</v>
      </c>
      <c r="D1310" s="18" t="s">
        <v>2618</v>
      </c>
      <c r="E1310" s="18"/>
      <c r="F1310" s="18" t="s">
        <v>47</v>
      </c>
      <c r="G1310" s="18" t="s">
        <v>47</v>
      </c>
      <c r="H1310" s="4" t="str">
        <f t="shared" si="3"/>
        <v>1/Pc</v>
      </c>
      <c r="I1310" s="18">
        <v>1.0</v>
      </c>
      <c r="J1310" s="19" t="s">
        <v>1973</v>
      </c>
      <c r="K1310" s="16">
        <v>591.9642857142857</v>
      </c>
      <c r="L1310" s="16"/>
    </row>
    <row r="1311" ht="15.75" customHeight="1">
      <c r="A1311" s="17" t="s">
        <v>16</v>
      </c>
      <c r="C1311" s="4" t="s">
        <v>365</v>
      </c>
      <c r="D1311" s="18" t="s">
        <v>2619</v>
      </c>
      <c r="E1311" s="18"/>
      <c r="F1311" s="18" t="s">
        <v>40</v>
      </c>
      <c r="G1311" s="18" t="s">
        <v>367</v>
      </c>
      <c r="H1311" s="4" t="str">
        <f t="shared" si="3"/>
        <v>10/Box</v>
      </c>
      <c r="I1311" s="18">
        <v>10.0</v>
      </c>
      <c r="J1311" s="19" t="s">
        <v>2450</v>
      </c>
      <c r="K1311" s="16">
        <v>156.24999999999997</v>
      </c>
      <c r="L1311" s="16"/>
    </row>
    <row r="1312" ht="15.75" customHeight="1">
      <c r="A1312" s="17" t="s">
        <v>16</v>
      </c>
      <c r="C1312" s="4" t="s">
        <v>2620</v>
      </c>
      <c r="D1312" s="4" t="s">
        <v>2621</v>
      </c>
      <c r="E1312" s="4"/>
      <c r="F1312" s="18" t="s">
        <v>40</v>
      </c>
      <c r="G1312" s="18" t="s">
        <v>367</v>
      </c>
      <c r="H1312" s="4" t="str">
        <f t="shared" si="3"/>
        <v>24/Box</v>
      </c>
      <c r="I1312" s="18">
        <v>24.0</v>
      </c>
      <c r="J1312" s="19" t="s">
        <v>2450</v>
      </c>
      <c r="K1312" s="16">
        <v>653.5714285714286</v>
      </c>
      <c r="L1312" s="16"/>
    </row>
    <row r="1313" ht="15.75" customHeight="1">
      <c r="A1313" s="17" t="s">
        <v>2037</v>
      </c>
      <c r="C1313" s="4" t="s">
        <v>2622</v>
      </c>
      <c r="D1313" s="4" t="s">
        <v>2623</v>
      </c>
      <c r="E1313" s="4"/>
      <c r="F1313" s="18" t="s">
        <v>47</v>
      </c>
      <c r="G1313" s="18" t="s">
        <v>47</v>
      </c>
      <c r="H1313" s="4" t="str">
        <f t="shared" si="3"/>
        <v>1/Pc</v>
      </c>
      <c r="I1313" s="18">
        <v>1.0</v>
      </c>
      <c r="J1313" s="19" t="s">
        <v>1973</v>
      </c>
      <c r="K1313" s="16">
        <v>364.2857142857143</v>
      </c>
      <c r="L1313" s="16"/>
    </row>
    <row r="1314" ht="15.75" customHeight="1">
      <c r="A1314" s="17" t="s">
        <v>2037</v>
      </c>
      <c r="C1314" s="4" t="s">
        <v>2624</v>
      </c>
      <c r="D1314" s="4" t="s">
        <v>2625</v>
      </c>
      <c r="E1314" s="4"/>
      <c r="F1314" s="18" t="s">
        <v>47</v>
      </c>
      <c r="G1314" s="18" t="s">
        <v>47</v>
      </c>
      <c r="H1314" s="4" t="str">
        <f t="shared" si="3"/>
        <v>1/Pc</v>
      </c>
      <c r="I1314" s="18">
        <v>1.0</v>
      </c>
      <c r="J1314" s="3" t="s">
        <v>1973</v>
      </c>
      <c r="K1314" s="16">
        <v>274.10714285714283</v>
      </c>
      <c r="L1314" s="16"/>
    </row>
    <row r="1315" ht="15.75" customHeight="1">
      <c r="A1315" s="17" t="s">
        <v>2037</v>
      </c>
      <c r="C1315" s="4" t="s">
        <v>2626</v>
      </c>
      <c r="D1315" s="4" t="s">
        <v>2627</v>
      </c>
      <c r="E1315" s="4"/>
      <c r="F1315" s="18" t="s">
        <v>47</v>
      </c>
      <c r="G1315" s="18" t="s">
        <v>47</v>
      </c>
      <c r="H1315" s="4" t="str">
        <f t="shared" si="3"/>
        <v>1/Pc</v>
      </c>
      <c r="I1315" s="18">
        <v>1.0</v>
      </c>
      <c r="J1315" s="19" t="s">
        <v>1973</v>
      </c>
      <c r="K1315" s="16">
        <v>364.2857142857143</v>
      </c>
      <c r="L1315" s="16"/>
    </row>
    <row r="1316" ht="15.75" customHeight="1">
      <c r="A1316" s="17" t="s">
        <v>2037</v>
      </c>
      <c r="C1316" s="4" t="s">
        <v>2628</v>
      </c>
      <c r="D1316" s="4" t="s">
        <v>2629</v>
      </c>
      <c r="E1316" s="4"/>
      <c r="F1316" s="18" t="s">
        <v>47</v>
      </c>
      <c r="G1316" s="18" t="s">
        <v>47</v>
      </c>
      <c r="H1316" s="4" t="str">
        <f t="shared" si="3"/>
        <v>1/Pc</v>
      </c>
      <c r="I1316" s="18">
        <v>1.0</v>
      </c>
      <c r="J1316" s="19" t="s">
        <v>1973</v>
      </c>
      <c r="K1316" s="16">
        <v>364.2857142857143</v>
      </c>
      <c r="L1316" s="16"/>
    </row>
    <row r="1317" ht="15.75" customHeight="1">
      <c r="A1317" s="17" t="s">
        <v>2037</v>
      </c>
      <c r="C1317" s="4" t="s">
        <v>2630</v>
      </c>
      <c r="D1317" s="4" t="s">
        <v>2631</v>
      </c>
      <c r="E1317" s="4"/>
      <c r="F1317" s="18" t="s">
        <v>47</v>
      </c>
      <c r="G1317" s="18" t="s">
        <v>47</v>
      </c>
      <c r="H1317" s="4" t="str">
        <f t="shared" si="3"/>
        <v>1/Pc</v>
      </c>
      <c r="I1317" s="18">
        <v>1.0</v>
      </c>
      <c r="J1317" s="19" t="s">
        <v>1973</v>
      </c>
      <c r="K1317" s="16">
        <v>449.0</v>
      </c>
      <c r="L1317" s="16"/>
    </row>
    <row r="1318" ht="15.75" customHeight="1">
      <c r="A1318" s="17" t="s">
        <v>2037</v>
      </c>
      <c r="C1318" s="4" t="s">
        <v>2632</v>
      </c>
      <c r="D1318" s="4" t="s">
        <v>2633</v>
      </c>
      <c r="E1318" s="4"/>
      <c r="F1318" s="18" t="s">
        <v>47</v>
      </c>
      <c r="G1318" s="18" t="s">
        <v>47</v>
      </c>
      <c r="H1318" s="4" t="str">
        <f t="shared" si="3"/>
        <v>1/Pc</v>
      </c>
      <c r="I1318" s="18">
        <v>1.0</v>
      </c>
      <c r="J1318" s="19" t="s">
        <v>1973</v>
      </c>
      <c r="K1318" s="16">
        <v>400.8928571428571</v>
      </c>
      <c r="L1318" s="16"/>
    </row>
    <row r="1319" ht="15.75" customHeight="1">
      <c r="A1319" s="17" t="s">
        <v>16</v>
      </c>
      <c r="C1319" s="4" t="s">
        <v>2634</v>
      </c>
      <c r="D1319" s="4" t="s">
        <v>2635</v>
      </c>
      <c r="E1319" s="4"/>
      <c r="F1319" s="18" t="s">
        <v>40</v>
      </c>
      <c r="G1319" s="18" t="s">
        <v>41</v>
      </c>
      <c r="H1319" s="4" t="str">
        <f t="shared" si="3"/>
        <v>6/Pack</v>
      </c>
      <c r="I1319" s="18">
        <v>6.0</v>
      </c>
      <c r="J1319" s="19" t="s">
        <v>441</v>
      </c>
      <c r="K1319" s="16">
        <v>89.28571428571428</v>
      </c>
      <c r="L1319" s="16"/>
    </row>
    <row r="1320" ht="15.75" customHeight="1">
      <c r="A1320" s="17" t="s">
        <v>16</v>
      </c>
      <c r="C1320" s="4" t="s">
        <v>2636</v>
      </c>
      <c r="D1320" s="4" t="s">
        <v>2637</v>
      </c>
      <c r="E1320" s="4"/>
      <c r="F1320" s="18" t="s">
        <v>40</v>
      </c>
      <c r="G1320" s="18" t="s">
        <v>448</v>
      </c>
      <c r="H1320" s="4" t="str">
        <f t="shared" si="3"/>
        <v>1/PC</v>
      </c>
      <c r="I1320" s="18">
        <v>1.0</v>
      </c>
      <c r="J1320" s="19" t="s">
        <v>42</v>
      </c>
      <c r="K1320" s="16">
        <v>102.67857142857142</v>
      </c>
      <c r="L1320" s="16"/>
    </row>
    <row r="1321" ht="15.75" customHeight="1">
      <c r="A1321" s="17" t="s">
        <v>16</v>
      </c>
      <c r="C1321" s="4" t="s">
        <v>2638</v>
      </c>
      <c r="D1321" s="4" t="s">
        <v>2639</v>
      </c>
      <c r="E1321" s="4"/>
      <c r="F1321" s="18" t="s">
        <v>40</v>
      </c>
      <c r="G1321" s="18" t="s">
        <v>448</v>
      </c>
      <c r="H1321" s="4" t="str">
        <f t="shared" si="3"/>
        <v>1/PC</v>
      </c>
      <c r="I1321" s="18">
        <v>1.0</v>
      </c>
      <c r="J1321" s="19" t="s">
        <v>42</v>
      </c>
      <c r="K1321" s="16">
        <v>240.17857142857142</v>
      </c>
      <c r="L1321" s="16"/>
    </row>
    <row r="1322" ht="15.75" customHeight="1">
      <c r="A1322" s="17" t="s">
        <v>2037</v>
      </c>
      <c r="C1322" s="4" t="s">
        <v>2640</v>
      </c>
      <c r="D1322" s="44" t="s">
        <v>2641</v>
      </c>
      <c r="E1322" s="44"/>
      <c r="F1322" s="18" t="s">
        <v>2415</v>
      </c>
      <c r="G1322" s="18" t="s">
        <v>2415</v>
      </c>
      <c r="H1322" s="4" t="str">
        <f t="shared" si="3"/>
        <v>1/PC</v>
      </c>
      <c r="I1322" s="18">
        <v>1.0</v>
      </c>
      <c r="J1322" s="19" t="s">
        <v>42</v>
      </c>
      <c r="K1322" s="16">
        <v>133.92857142857142</v>
      </c>
      <c r="L1322" s="16"/>
    </row>
    <row r="1323" ht="15.75" customHeight="1">
      <c r="A1323" s="17" t="s">
        <v>2037</v>
      </c>
      <c r="C1323" s="4" t="s">
        <v>2642</v>
      </c>
      <c r="D1323" s="4" t="s">
        <v>2643</v>
      </c>
      <c r="E1323" s="4"/>
      <c r="F1323" s="18" t="s">
        <v>2415</v>
      </c>
      <c r="G1323" s="18" t="s">
        <v>2415</v>
      </c>
      <c r="H1323" s="4" t="str">
        <f t="shared" si="3"/>
        <v>1/PC</v>
      </c>
      <c r="I1323" s="18">
        <v>1.0</v>
      </c>
      <c r="J1323" s="19" t="s">
        <v>42</v>
      </c>
      <c r="K1323" s="16">
        <v>227.67857142857142</v>
      </c>
      <c r="L1323" s="16"/>
    </row>
    <row r="1324" ht="15.75" customHeight="1">
      <c r="A1324" s="17" t="s">
        <v>2037</v>
      </c>
      <c r="C1324" s="4" t="s">
        <v>2644</v>
      </c>
      <c r="D1324" s="4" t="s">
        <v>2645</v>
      </c>
      <c r="E1324" s="4"/>
      <c r="F1324" s="18" t="s">
        <v>47</v>
      </c>
      <c r="G1324" s="18" t="s">
        <v>47</v>
      </c>
      <c r="H1324" s="4" t="str">
        <f t="shared" si="3"/>
        <v>1/PC</v>
      </c>
      <c r="I1324" s="18">
        <v>1.0</v>
      </c>
      <c r="J1324" s="19" t="s">
        <v>42</v>
      </c>
      <c r="K1324" s="16">
        <v>169.64285714285714</v>
      </c>
      <c r="L1324" s="16"/>
    </row>
    <row r="1325" ht="15.75" customHeight="1">
      <c r="A1325" s="17" t="s">
        <v>16</v>
      </c>
      <c r="C1325" s="4" t="s">
        <v>2646</v>
      </c>
      <c r="D1325" s="4" t="s">
        <v>2647</v>
      </c>
      <c r="E1325" s="4"/>
      <c r="F1325" s="18" t="s">
        <v>40</v>
      </c>
      <c r="G1325" s="18" t="s">
        <v>367</v>
      </c>
      <c r="H1325" s="4" t="str">
        <f t="shared" si="3"/>
        <v>12/PACK</v>
      </c>
      <c r="I1325" s="18">
        <v>12.0</v>
      </c>
      <c r="J1325" s="19" t="s">
        <v>23</v>
      </c>
      <c r="K1325" s="16">
        <v>129.4642857142857</v>
      </c>
      <c r="L1325" s="16"/>
    </row>
    <row r="1326" ht="15.75" customHeight="1">
      <c r="A1326" s="17" t="s">
        <v>16</v>
      </c>
      <c r="C1326" s="4" t="s">
        <v>2648</v>
      </c>
      <c r="D1326" s="4" t="s">
        <v>2649</v>
      </c>
      <c r="E1326" s="4"/>
      <c r="F1326" s="18" t="s">
        <v>40</v>
      </c>
      <c r="G1326" s="18" t="s">
        <v>367</v>
      </c>
      <c r="H1326" s="4" t="str">
        <f t="shared" si="3"/>
        <v>12/PACK</v>
      </c>
      <c r="I1326" s="18">
        <v>12.0</v>
      </c>
      <c r="J1326" s="19" t="s">
        <v>23</v>
      </c>
      <c r="K1326" s="16">
        <v>129.4642857142857</v>
      </c>
      <c r="L1326" s="16"/>
    </row>
    <row r="1327" ht="15.75" customHeight="1">
      <c r="A1327" s="17" t="s">
        <v>16</v>
      </c>
      <c r="C1327" s="4" t="s">
        <v>2650</v>
      </c>
      <c r="D1327" s="4" t="s">
        <v>2651</v>
      </c>
      <c r="E1327" s="4"/>
      <c r="F1327" s="18" t="s">
        <v>40</v>
      </c>
      <c r="G1327" s="18" t="s">
        <v>367</v>
      </c>
      <c r="H1327" s="4" t="str">
        <f t="shared" si="3"/>
        <v>12/PACK</v>
      </c>
      <c r="I1327" s="18">
        <v>12.0</v>
      </c>
      <c r="J1327" s="19" t="s">
        <v>23</v>
      </c>
      <c r="K1327" s="16">
        <v>129.4642857142857</v>
      </c>
      <c r="L1327" s="16"/>
    </row>
    <row r="1328" ht="15.75" customHeight="1">
      <c r="A1328" s="17" t="s">
        <v>16</v>
      </c>
      <c r="C1328" s="4" t="s">
        <v>2652</v>
      </c>
      <c r="D1328" s="4" t="s">
        <v>2653</v>
      </c>
      <c r="E1328" s="4"/>
      <c r="F1328" s="18" t="s">
        <v>40</v>
      </c>
      <c r="G1328" s="18" t="s">
        <v>367</v>
      </c>
      <c r="H1328" s="4" t="str">
        <f t="shared" si="3"/>
        <v>12/PACK</v>
      </c>
      <c r="I1328" s="18">
        <v>12.0</v>
      </c>
      <c r="J1328" s="19" t="s">
        <v>23</v>
      </c>
      <c r="K1328" s="16">
        <v>129.4642857142857</v>
      </c>
      <c r="L1328" s="16"/>
    </row>
    <row r="1329" ht="15.75" customHeight="1">
      <c r="A1329" s="17" t="s">
        <v>16</v>
      </c>
      <c r="C1329" s="4" t="s">
        <v>2654</v>
      </c>
      <c r="D1329" s="4" t="s">
        <v>2655</v>
      </c>
      <c r="E1329" s="4"/>
      <c r="F1329" s="18" t="s">
        <v>40</v>
      </c>
      <c r="G1329" s="18" t="s">
        <v>367</v>
      </c>
      <c r="H1329" s="4" t="str">
        <f t="shared" si="3"/>
        <v>1/PC</v>
      </c>
      <c r="I1329" s="4">
        <v>1.0</v>
      </c>
      <c r="J1329" s="3" t="s">
        <v>42</v>
      </c>
      <c r="K1329" s="16">
        <v>44.64285714285714</v>
      </c>
      <c r="L1329" s="16"/>
    </row>
    <row r="1330" ht="15.75" customHeight="1">
      <c r="A1330" s="17" t="s">
        <v>16</v>
      </c>
      <c r="C1330" s="4" t="s">
        <v>2656</v>
      </c>
      <c r="D1330" s="4" t="s">
        <v>2657</v>
      </c>
      <c r="E1330" s="4"/>
      <c r="F1330" s="18" t="s">
        <v>40</v>
      </c>
      <c r="G1330" s="18" t="s">
        <v>367</v>
      </c>
      <c r="H1330" s="4" t="str">
        <f t="shared" si="3"/>
        <v>1/PC</v>
      </c>
      <c r="I1330" s="4">
        <v>1.0</v>
      </c>
      <c r="J1330" s="3" t="s">
        <v>42</v>
      </c>
      <c r="K1330" s="16">
        <v>28.57142857142857</v>
      </c>
      <c r="L1330" s="16"/>
    </row>
    <row r="1331" ht="15.75" customHeight="1">
      <c r="A1331" s="17" t="s">
        <v>16</v>
      </c>
      <c r="C1331" s="4" t="s">
        <v>2658</v>
      </c>
      <c r="D1331" s="4" t="s">
        <v>2659</v>
      </c>
      <c r="E1331" s="4"/>
      <c r="F1331" s="18" t="s">
        <v>40</v>
      </c>
      <c r="G1331" s="18" t="s">
        <v>367</v>
      </c>
      <c r="H1331" s="4" t="str">
        <f t="shared" si="3"/>
        <v>1/GAL</v>
      </c>
      <c r="I1331" s="4">
        <v>1.0</v>
      </c>
      <c r="J1331" s="3" t="s">
        <v>2095</v>
      </c>
      <c r="K1331" s="16">
        <v>474.99999999999994</v>
      </c>
      <c r="L1331" s="16"/>
    </row>
    <row r="1332" ht="15.75" customHeight="1">
      <c r="A1332" s="17" t="s">
        <v>16</v>
      </c>
      <c r="C1332" s="4" t="s">
        <v>2660</v>
      </c>
      <c r="D1332" s="4" t="s">
        <v>2661</v>
      </c>
      <c r="E1332" s="4"/>
      <c r="F1332" s="18" t="s">
        <v>40</v>
      </c>
      <c r="G1332" s="18" t="s">
        <v>367</v>
      </c>
      <c r="H1332" s="4" t="str">
        <f t="shared" si="3"/>
        <v>1/GAL</v>
      </c>
      <c r="I1332" s="4">
        <v>1.0</v>
      </c>
      <c r="J1332" s="3" t="s">
        <v>2095</v>
      </c>
      <c r="K1332" s="16">
        <v>928.57</v>
      </c>
      <c r="L1332" s="16"/>
    </row>
    <row r="1333" ht="15.75" customHeight="1">
      <c r="A1333" s="17" t="s">
        <v>2037</v>
      </c>
      <c r="C1333" s="4" t="s">
        <v>2662</v>
      </c>
      <c r="D1333" s="4" t="s">
        <v>2663</v>
      </c>
      <c r="E1333" s="4"/>
      <c r="F1333" s="18" t="s">
        <v>47</v>
      </c>
      <c r="G1333" s="18" t="s">
        <v>47</v>
      </c>
      <c r="H1333" s="4" t="str">
        <f t="shared" si="3"/>
        <v>1/Pc</v>
      </c>
      <c r="I1333" s="18">
        <v>1.0</v>
      </c>
      <c r="J1333" s="19" t="s">
        <v>1973</v>
      </c>
      <c r="K1333" s="16">
        <v>348.21</v>
      </c>
      <c r="L1333" s="16"/>
    </row>
    <row r="1334" ht="15.75" customHeight="1">
      <c r="A1334" s="17" t="s">
        <v>16</v>
      </c>
      <c r="C1334" s="4" t="s">
        <v>2664</v>
      </c>
      <c r="D1334" s="4" t="s">
        <v>2665</v>
      </c>
      <c r="E1334" s="4"/>
      <c r="F1334" s="18" t="s">
        <v>40</v>
      </c>
      <c r="G1334" s="18" t="s">
        <v>41</v>
      </c>
      <c r="H1334" s="4" t="str">
        <f t="shared" si="3"/>
        <v>100/Box</v>
      </c>
      <c r="I1334" s="18">
        <v>100.0</v>
      </c>
      <c r="J1334" s="19" t="s">
        <v>2450</v>
      </c>
      <c r="K1334" s="16">
        <v>1647.32</v>
      </c>
      <c r="L1334" s="16"/>
    </row>
    <row r="1335" ht="15.75" customHeight="1">
      <c r="A1335" s="17" t="s">
        <v>16</v>
      </c>
      <c r="C1335" s="4" t="s">
        <v>2666</v>
      </c>
      <c r="D1335" s="4" t="s">
        <v>2667</v>
      </c>
      <c r="E1335" s="4"/>
      <c r="F1335" s="18" t="s">
        <v>40</v>
      </c>
      <c r="G1335" s="18" t="s">
        <v>41</v>
      </c>
      <c r="H1335" s="4" t="str">
        <f t="shared" si="3"/>
        <v>125/Pack</v>
      </c>
      <c r="I1335" s="18">
        <v>125.0</v>
      </c>
      <c r="J1335" s="19" t="s">
        <v>441</v>
      </c>
      <c r="K1335" s="16">
        <v>474.33</v>
      </c>
      <c r="L1335" s="16"/>
    </row>
    <row r="1336" ht="15.75" customHeight="1">
      <c r="A1336" s="17" t="s">
        <v>2037</v>
      </c>
      <c r="C1336" s="4" t="s">
        <v>2668</v>
      </c>
      <c r="D1336" s="4" t="s">
        <v>2669</v>
      </c>
      <c r="E1336" s="4"/>
      <c r="F1336" s="18" t="s">
        <v>47</v>
      </c>
      <c r="G1336" s="18" t="s">
        <v>47</v>
      </c>
      <c r="H1336" s="4" t="str">
        <f t="shared" si="3"/>
        <v>500/Case</v>
      </c>
      <c r="I1336" s="18">
        <v>500.0</v>
      </c>
      <c r="J1336" s="19" t="s">
        <v>2082</v>
      </c>
      <c r="K1336" s="16">
        <v>1897.3214285714284</v>
      </c>
      <c r="L1336" s="16"/>
    </row>
    <row r="1337" ht="15.75" customHeight="1">
      <c r="A1337" s="17" t="s">
        <v>16</v>
      </c>
      <c r="C1337" s="4" t="s">
        <v>2670</v>
      </c>
      <c r="D1337" s="4" t="s">
        <v>2671</v>
      </c>
      <c r="E1337" s="4"/>
      <c r="F1337" s="18" t="s">
        <v>40</v>
      </c>
      <c r="G1337" s="18" t="s">
        <v>367</v>
      </c>
      <c r="H1337" s="4" t="str">
        <f t="shared" si="3"/>
        <v>600/case</v>
      </c>
      <c r="I1337" s="4">
        <v>600.0</v>
      </c>
      <c r="J1337" s="3" t="s">
        <v>2266</v>
      </c>
      <c r="K1337" s="16">
        <v>535.7142857142857</v>
      </c>
      <c r="L1337" s="16"/>
    </row>
    <row r="1338" ht="15.75" customHeight="1">
      <c r="A1338" s="17" t="s">
        <v>2037</v>
      </c>
      <c r="C1338" s="4" t="s">
        <v>2672</v>
      </c>
      <c r="D1338" s="4" t="s">
        <v>2673</v>
      </c>
      <c r="E1338" s="4"/>
      <c r="F1338" s="18" t="s">
        <v>2398</v>
      </c>
      <c r="G1338" s="18" t="s">
        <v>2398</v>
      </c>
      <c r="H1338" s="4" t="str">
        <f t="shared" si="3"/>
        <v>1/Unit</v>
      </c>
      <c r="I1338" s="18">
        <v>1.0</v>
      </c>
      <c r="J1338" s="19" t="s">
        <v>2399</v>
      </c>
      <c r="K1338" s="16">
        <v>295000.0</v>
      </c>
      <c r="L1338" s="16"/>
    </row>
    <row r="1339" ht="15.75" customHeight="1">
      <c r="A1339" s="17" t="s">
        <v>16</v>
      </c>
      <c r="C1339" s="4" t="s">
        <v>2674</v>
      </c>
      <c r="D1339" s="4" t="s">
        <v>2675</v>
      </c>
      <c r="E1339" s="4"/>
      <c r="F1339" s="18" t="s">
        <v>40</v>
      </c>
      <c r="G1339" s="18" t="s">
        <v>367</v>
      </c>
      <c r="H1339" s="4" t="str">
        <f t="shared" si="3"/>
        <v>4/Case</v>
      </c>
      <c r="I1339" s="18">
        <v>4.0</v>
      </c>
      <c r="J1339" s="19" t="s">
        <v>2082</v>
      </c>
      <c r="K1339" s="16">
        <v>1899.9999999999998</v>
      </c>
      <c r="L1339" s="16"/>
    </row>
    <row r="1340" ht="15.75" customHeight="1">
      <c r="A1340" s="17" t="s">
        <v>16</v>
      </c>
      <c r="C1340" s="4" t="s">
        <v>2676</v>
      </c>
      <c r="D1340" s="4" t="s">
        <v>2677</v>
      </c>
      <c r="E1340" s="4"/>
      <c r="F1340" s="18" t="s">
        <v>40</v>
      </c>
      <c r="G1340" s="18" t="s">
        <v>367</v>
      </c>
      <c r="H1340" s="4" t="str">
        <f t="shared" si="3"/>
        <v>4/Case</v>
      </c>
      <c r="I1340" s="18">
        <v>4.0</v>
      </c>
      <c r="J1340" s="19" t="s">
        <v>2082</v>
      </c>
      <c r="K1340" s="16">
        <v>3714.29</v>
      </c>
      <c r="L1340" s="16"/>
    </row>
    <row r="1341" ht="15.75" customHeight="1">
      <c r="A1341" s="17" t="s">
        <v>16</v>
      </c>
      <c r="C1341" s="4" t="s">
        <v>2678</v>
      </c>
      <c r="D1341" s="4" t="s">
        <v>2679</v>
      </c>
      <c r="E1341" s="4"/>
      <c r="F1341" s="18" t="s">
        <v>40</v>
      </c>
      <c r="G1341" s="18" t="s">
        <v>448</v>
      </c>
      <c r="H1341" s="4" t="str">
        <f t="shared" si="3"/>
        <v>1/PC</v>
      </c>
      <c r="I1341" s="18">
        <v>1.0</v>
      </c>
      <c r="J1341" s="19" t="s">
        <v>42</v>
      </c>
      <c r="K1341" s="16">
        <v>13.392857142857142</v>
      </c>
      <c r="L1341" s="16"/>
    </row>
    <row r="1342" ht="15.75" customHeight="1">
      <c r="A1342" s="17" t="s">
        <v>16</v>
      </c>
      <c r="C1342" s="4" t="s">
        <v>2680</v>
      </c>
      <c r="D1342" s="4" t="s">
        <v>2681</v>
      </c>
      <c r="E1342" s="4"/>
      <c r="F1342" s="18" t="s">
        <v>40</v>
      </c>
      <c r="G1342" s="18" t="s">
        <v>367</v>
      </c>
      <c r="H1342" s="4" t="str">
        <f t="shared" si="3"/>
        <v>50/Pack</v>
      </c>
      <c r="I1342" s="18">
        <v>50.0</v>
      </c>
      <c r="J1342" s="19" t="s">
        <v>441</v>
      </c>
      <c r="K1342" s="16">
        <v>62.49999999999999</v>
      </c>
      <c r="L1342" s="16"/>
    </row>
    <row r="1343" ht="15.75" customHeight="1">
      <c r="A1343" s="17" t="s">
        <v>2037</v>
      </c>
      <c r="C1343" s="4" t="s">
        <v>2682</v>
      </c>
      <c r="D1343" s="4" t="s">
        <v>2683</v>
      </c>
      <c r="E1343" s="4"/>
      <c r="F1343" s="18" t="s">
        <v>47</v>
      </c>
      <c r="G1343" s="18" t="s">
        <v>47</v>
      </c>
      <c r="H1343" s="4" t="str">
        <f t="shared" si="3"/>
        <v>1/Pc</v>
      </c>
      <c r="I1343" s="18">
        <v>1.0</v>
      </c>
      <c r="J1343" s="19" t="s">
        <v>1973</v>
      </c>
      <c r="K1343" s="16">
        <v>1142.8571428571427</v>
      </c>
      <c r="L1343" s="16"/>
    </row>
    <row r="1344" ht="15.75" customHeight="1">
      <c r="A1344" s="17" t="s">
        <v>2037</v>
      </c>
      <c r="C1344" s="4" t="s">
        <v>2684</v>
      </c>
      <c r="D1344" s="4" t="s">
        <v>2685</v>
      </c>
      <c r="E1344" s="4"/>
      <c r="F1344" s="18" t="s">
        <v>47</v>
      </c>
      <c r="G1344" s="18" t="s">
        <v>47</v>
      </c>
      <c r="H1344" s="4" t="str">
        <f t="shared" si="3"/>
        <v>1/Pc</v>
      </c>
      <c r="I1344" s="18">
        <v>1.0</v>
      </c>
      <c r="J1344" s="19" t="s">
        <v>1973</v>
      </c>
      <c r="K1344" s="16">
        <v>1392.8571428571427</v>
      </c>
      <c r="L1344" s="16"/>
    </row>
    <row r="1345" ht="15.75" customHeight="1">
      <c r="A1345" s="17" t="s">
        <v>2037</v>
      </c>
      <c r="C1345" s="4" t="s">
        <v>2686</v>
      </c>
      <c r="D1345" s="4" t="s">
        <v>2687</v>
      </c>
      <c r="E1345" s="4"/>
      <c r="F1345" s="18" t="s">
        <v>47</v>
      </c>
      <c r="G1345" s="18" t="s">
        <v>47</v>
      </c>
      <c r="H1345" s="4" t="str">
        <f t="shared" si="3"/>
        <v>1/Pc</v>
      </c>
      <c r="I1345" s="18">
        <v>1.0</v>
      </c>
      <c r="J1345" s="19" t="s">
        <v>1973</v>
      </c>
      <c r="K1345" s="16">
        <v>322.23214285714283</v>
      </c>
      <c r="L1345" s="16"/>
    </row>
    <row r="1346" ht="15.75" customHeight="1">
      <c r="A1346" s="17" t="s">
        <v>2037</v>
      </c>
      <c r="C1346" s="4" t="s">
        <v>2688</v>
      </c>
      <c r="D1346" s="4" t="s">
        <v>2689</v>
      </c>
      <c r="E1346" s="4"/>
      <c r="F1346" s="18" t="s">
        <v>47</v>
      </c>
      <c r="G1346" s="18" t="s">
        <v>47</v>
      </c>
      <c r="H1346" s="4" t="str">
        <f t="shared" si="3"/>
        <v>1/Pc</v>
      </c>
      <c r="I1346" s="18">
        <v>1.0</v>
      </c>
      <c r="J1346" s="19" t="s">
        <v>1973</v>
      </c>
      <c r="K1346" s="16">
        <v>499.99999999999994</v>
      </c>
      <c r="L1346" s="16"/>
    </row>
    <row r="1347" ht="15.75" customHeight="1">
      <c r="A1347" s="17" t="s">
        <v>2037</v>
      </c>
      <c r="C1347" s="4" t="s">
        <v>2690</v>
      </c>
      <c r="D1347" s="4" t="s">
        <v>2691</v>
      </c>
      <c r="E1347" s="4"/>
      <c r="F1347" s="18" t="s">
        <v>47</v>
      </c>
      <c r="G1347" s="18" t="s">
        <v>47</v>
      </c>
      <c r="H1347" s="4" t="str">
        <f t="shared" si="3"/>
        <v>1/Pc</v>
      </c>
      <c r="I1347" s="18">
        <v>1.0</v>
      </c>
      <c r="J1347" s="19" t="s">
        <v>1973</v>
      </c>
      <c r="K1347" s="16">
        <v>569.0267857142857</v>
      </c>
      <c r="L1347" s="16"/>
    </row>
    <row r="1348" ht="15.75" customHeight="1">
      <c r="A1348" s="17" t="s">
        <v>2037</v>
      </c>
      <c r="C1348" s="4" t="s">
        <v>2692</v>
      </c>
      <c r="D1348" s="4" t="s">
        <v>2693</v>
      </c>
      <c r="E1348" s="4"/>
      <c r="F1348" s="18" t="s">
        <v>47</v>
      </c>
      <c r="G1348" s="18" t="s">
        <v>47</v>
      </c>
      <c r="H1348" s="4" t="str">
        <f t="shared" si="3"/>
        <v>1/Pc</v>
      </c>
      <c r="I1348" s="18">
        <v>1.0</v>
      </c>
      <c r="J1348" s="19" t="s">
        <v>1973</v>
      </c>
      <c r="K1348" s="16">
        <v>202.5</v>
      </c>
      <c r="L1348" s="16"/>
    </row>
    <row r="1349" ht="15.75" customHeight="1">
      <c r="A1349" s="17" t="s">
        <v>2037</v>
      </c>
      <c r="C1349" s="4" t="s">
        <v>2694</v>
      </c>
      <c r="D1349" s="4" t="s">
        <v>2695</v>
      </c>
      <c r="E1349" s="4"/>
      <c r="F1349" s="18" t="s">
        <v>47</v>
      </c>
      <c r="G1349" s="18" t="s">
        <v>47</v>
      </c>
      <c r="H1349" s="4" t="str">
        <f t="shared" si="3"/>
        <v>1/Pc</v>
      </c>
      <c r="I1349" s="18">
        <v>1.0</v>
      </c>
      <c r="J1349" s="19" t="s">
        <v>1973</v>
      </c>
      <c r="K1349" s="16">
        <v>443.74999999999994</v>
      </c>
      <c r="L1349" s="16"/>
    </row>
    <row r="1350" ht="15.75" customHeight="1">
      <c r="A1350" s="17" t="s">
        <v>2037</v>
      </c>
      <c r="C1350" s="4" t="s">
        <v>2696</v>
      </c>
      <c r="D1350" s="4" t="s">
        <v>2697</v>
      </c>
      <c r="E1350" s="4"/>
      <c r="F1350" s="18" t="s">
        <v>47</v>
      </c>
      <c r="G1350" s="18" t="s">
        <v>47</v>
      </c>
      <c r="H1350" s="4" t="str">
        <f t="shared" si="3"/>
        <v>1/PC</v>
      </c>
      <c r="I1350" s="18">
        <v>1.0</v>
      </c>
      <c r="J1350" s="19" t="s">
        <v>42</v>
      </c>
      <c r="K1350" s="16">
        <v>142.85714285714283</v>
      </c>
      <c r="L1350" s="16"/>
    </row>
    <row r="1351" ht="15.75" customHeight="1">
      <c r="A1351" s="17" t="s">
        <v>2037</v>
      </c>
      <c r="C1351" s="4" t="s">
        <v>2698</v>
      </c>
      <c r="D1351" s="4" t="s">
        <v>2699</v>
      </c>
      <c r="E1351" s="4"/>
      <c r="F1351" s="18" t="s">
        <v>47</v>
      </c>
      <c r="G1351" s="18" t="s">
        <v>47</v>
      </c>
      <c r="H1351" s="4" t="str">
        <f t="shared" si="3"/>
        <v>1/PC</v>
      </c>
      <c r="I1351" s="18">
        <v>1.0</v>
      </c>
      <c r="J1351" s="19" t="s">
        <v>42</v>
      </c>
      <c r="K1351" s="16">
        <v>142.85714285714283</v>
      </c>
      <c r="L1351" s="16"/>
    </row>
    <row r="1352" ht="15.75" customHeight="1">
      <c r="A1352" s="17" t="s">
        <v>2037</v>
      </c>
      <c r="C1352" s="4" t="s">
        <v>2700</v>
      </c>
      <c r="D1352" s="4" t="s">
        <v>2701</v>
      </c>
      <c r="E1352" s="4"/>
      <c r="F1352" s="18" t="s">
        <v>47</v>
      </c>
      <c r="G1352" s="18" t="s">
        <v>47</v>
      </c>
      <c r="H1352" s="4" t="str">
        <f t="shared" si="3"/>
        <v>1/PC</v>
      </c>
      <c r="I1352" s="18">
        <v>1.0</v>
      </c>
      <c r="J1352" s="19" t="s">
        <v>42</v>
      </c>
      <c r="K1352" s="16">
        <v>87.49999999999999</v>
      </c>
      <c r="L1352" s="16"/>
    </row>
    <row r="1353" ht="15.75" customHeight="1">
      <c r="A1353" s="17" t="s">
        <v>2037</v>
      </c>
      <c r="C1353" s="4" t="s">
        <v>2702</v>
      </c>
      <c r="D1353" s="4" t="s">
        <v>2703</v>
      </c>
      <c r="E1353" s="4"/>
      <c r="F1353" s="18" t="s">
        <v>47</v>
      </c>
      <c r="G1353" s="18" t="s">
        <v>47</v>
      </c>
      <c r="H1353" s="4" t="str">
        <f t="shared" si="3"/>
        <v>1/PC</v>
      </c>
      <c r="I1353" s="18">
        <v>1.0</v>
      </c>
      <c r="J1353" s="19" t="s">
        <v>42</v>
      </c>
      <c r="K1353" s="16">
        <v>66.96428571428571</v>
      </c>
      <c r="L1353" s="16"/>
    </row>
    <row r="1354" ht="15.75" customHeight="1">
      <c r="A1354" s="17" t="s">
        <v>2037</v>
      </c>
      <c r="C1354" s="4" t="s">
        <v>2704</v>
      </c>
      <c r="D1354" s="4" t="s">
        <v>2705</v>
      </c>
      <c r="E1354" s="4"/>
      <c r="F1354" s="18" t="s">
        <v>47</v>
      </c>
      <c r="G1354" s="18" t="s">
        <v>47</v>
      </c>
      <c r="H1354" s="4" t="str">
        <f t="shared" si="3"/>
        <v>1/PC</v>
      </c>
      <c r="I1354" s="18">
        <v>1.0</v>
      </c>
      <c r="J1354" s="19" t="s">
        <v>42</v>
      </c>
      <c r="K1354" s="16">
        <v>138.39285714285714</v>
      </c>
      <c r="L1354" s="16"/>
    </row>
    <row r="1355" ht="15.75" customHeight="1">
      <c r="A1355" s="17" t="s">
        <v>2037</v>
      </c>
      <c r="C1355" s="4" t="s">
        <v>2706</v>
      </c>
      <c r="D1355" s="4" t="s">
        <v>2707</v>
      </c>
      <c r="E1355" s="4"/>
      <c r="F1355" s="18" t="s">
        <v>47</v>
      </c>
      <c r="G1355" s="18" t="s">
        <v>47</v>
      </c>
      <c r="H1355" s="4" t="str">
        <f t="shared" si="3"/>
        <v>1/PC</v>
      </c>
      <c r="I1355" s="18">
        <v>1.0</v>
      </c>
      <c r="J1355" s="19" t="s">
        <v>42</v>
      </c>
      <c r="K1355" s="16">
        <v>80.35714285714285</v>
      </c>
      <c r="L1355" s="16"/>
    </row>
    <row r="1356" ht="15.75" customHeight="1">
      <c r="A1356" s="17" t="s">
        <v>2037</v>
      </c>
      <c r="C1356" s="4" t="s">
        <v>2708</v>
      </c>
      <c r="D1356" s="4" t="s">
        <v>2709</v>
      </c>
      <c r="E1356" s="4"/>
      <c r="F1356" s="18" t="s">
        <v>47</v>
      </c>
      <c r="G1356" s="18" t="s">
        <v>47</v>
      </c>
      <c r="H1356" s="4" t="str">
        <f t="shared" si="3"/>
        <v>1/Pc</v>
      </c>
      <c r="I1356" s="18">
        <v>1.0</v>
      </c>
      <c r="J1356" s="19" t="s">
        <v>1973</v>
      </c>
      <c r="K1356" s="16">
        <v>139.82142857142856</v>
      </c>
      <c r="L1356" s="16"/>
    </row>
    <row r="1357" ht="15.75" customHeight="1">
      <c r="A1357" s="17" t="s">
        <v>2037</v>
      </c>
      <c r="C1357" s="4" t="s">
        <v>2710</v>
      </c>
      <c r="D1357" s="4" t="s">
        <v>2711</v>
      </c>
      <c r="E1357" s="4"/>
      <c r="F1357" s="18" t="s">
        <v>47</v>
      </c>
      <c r="G1357" s="18" t="s">
        <v>47</v>
      </c>
      <c r="H1357" s="4" t="str">
        <f t="shared" si="3"/>
        <v>1/PC</v>
      </c>
      <c r="I1357" s="18">
        <v>1.0</v>
      </c>
      <c r="J1357" s="19" t="s">
        <v>42</v>
      </c>
      <c r="K1357" s="16">
        <v>635.7142857142857</v>
      </c>
      <c r="L1357" s="16"/>
    </row>
    <row r="1358" ht="15.75" customHeight="1">
      <c r="A1358" s="17" t="s">
        <v>2037</v>
      </c>
      <c r="C1358" s="4" t="s">
        <v>2712</v>
      </c>
      <c r="D1358" s="4" t="s">
        <v>2713</v>
      </c>
      <c r="E1358" s="4"/>
      <c r="F1358" s="18" t="s">
        <v>47</v>
      </c>
      <c r="G1358" s="18" t="s">
        <v>47</v>
      </c>
      <c r="H1358" s="4" t="str">
        <f t="shared" si="3"/>
        <v>1/PC</v>
      </c>
      <c r="I1358" s="18">
        <v>1.0</v>
      </c>
      <c r="J1358" s="19" t="s">
        <v>42</v>
      </c>
      <c r="K1358" s="16">
        <v>602.6785714285713</v>
      </c>
      <c r="L1358" s="16"/>
    </row>
    <row r="1359" ht="15.75" customHeight="1">
      <c r="A1359" s="17" t="s">
        <v>2037</v>
      </c>
      <c r="C1359" s="4" t="s">
        <v>2714</v>
      </c>
      <c r="D1359" s="4" t="s">
        <v>2715</v>
      </c>
      <c r="E1359" s="4"/>
      <c r="F1359" s="18" t="s">
        <v>47</v>
      </c>
      <c r="G1359" s="18" t="s">
        <v>47</v>
      </c>
      <c r="H1359" s="4" t="str">
        <f t="shared" si="3"/>
        <v>1/PC</v>
      </c>
      <c r="I1359" s="18">
        <v>1.0</v>
      </c>
      <c r="J1359" s="19" t="s">
        <v>42</v>
      </c>
      <c r="K1359" s="16">
        <v>139.82142857142856</v>
      </c>
      <c r="L1359" s="16"/>
    </row>
    <row r="1360" ht="15.75" customHeight="1">
      <c r="A1360" s="17" t="s">
        <v>2037</v>
      </c>
      <c r="C1360" s="4" t="s">
        <v>2716</v>
      </c>
      <c r="D1360" s="4" t="s">
        <v>2717</v>
      </c>
      <c r="E1360" s="4"/>
      <c r="F1360" s="18" t="s">
        <v>47</v>
      </c>
      <c r="G1360" s="18" t="s">
        <v>47</v>
      </c>
      <c r="H1360" s="4" t="str">
        <f t="shared" si="3"/>
        <v>1/PC</v>
      </c>
      <c r="I1360" s="18">
        <v>1.0</v>
      </c>
      <c r="J1360" s="19" t="s">
        <v>42</v>
      </c>
      <c r="K1360" s="16">
        <v>227.50892857142856</v>
      </c>
      <c r="L1360" s="16"/>
    </row>
    <row r="1361" ht="15.75" customHeight="1">
      <c r="A1361" s="17" t="s">
        <v>2037</v>
      </c>
      <c r="C1361" s="4" t="s">
        <v>2718</v>
      </c>
      <c r="D1361" s="4" t="s">
        <v>2719</v>
      </c>
      <c r="E1361" s="4"/>
      <c r="F1361" s="18" t="s">
        <v>47</v>
      </c>
      <c r="G1361" s="18" t="s">
        <v>47</v>
      </c>
      <c r="H1361" s="4" t="str">
        <f t="shared" si="3"/>
        <v>1/PC</v>
      </c>
      <c r="I1361" s="4">
        <v>1.0</v>
      </c>
      <c r="J1361" s="3" t="s">
        <v>42</v>
      </c>
      <c r="K1361" s="16">
        <v>100.89285714285714</v>
      </c>
      <c r="L1361" s="16"/>
    </row>
    <row r="1362" ht="15.75" customHeight="1">
      <c r="A1362" s="17" t="s">
        <v>2037</v>
      </c>
      <c r="C1362" s="4" t="s">
        <v>2720</v>
      </c>
      <c r="D1362" s="4" t="s">
        <v>2721</v>
      </c>
      <c r="E1362" s="4"/>
      <c r="F1362" s="18" t="s">
        <v>47</v>
      </c>
      <c r="G1362" s="18" t="s">
        <v>47</v>
      </c>
      <c r="H1362" s="4" t="str">
        <f t="shared" si="3"/>
        <v>1/PC</v>
      </c>
      <c r="I1362" s="4">
        <v>1.0</v>
      </c>
      <c r="J1362" s="3" t="s">
        <v>42</v>
      </c>
      <c r="K1362" s="16">
        <v>227.50892857142856</v>
      </c>
      <c r="L1362" s="16"/>
    </row>
    <row r="1363" ht="15.75" customHeight="1">
      <c r="A1363" s="17" t="s">
        <v>2037</v>
      </c>
      <c r="C1363" s="4" t="s">
        <v>2722</v>
      </c>
      <c r="D1363" s="4" t="s">
        <v>2723</v>
      </c>
      <c r="E1363" s="4"/>
      <c r="F1363" s="18" t="s">
        <v>47</v>
      </c>
      <c r="G1363" s="18" t="s">
        <v>47</v>
      </c>
      <c r="H1363" s="4" t="str">
        <f t="shared" si="3"/>
        <v>1/PC</v>
      </c>
      <c r="I1363" s="4">
        <v>1.0</v>
      </c>
      <c r="J1363" s="3" t="s">
        <v>42</v>
      </c>
      <c r="K1363" s="16">
        <v>80.35714285714285</v>
      </c>
      <c r="L1363" s="16"/>
    </row>
    <row r="1364" ht="15.75" customHeight="1">
      <c r="A1364" s="17" t="s">
        <v>2037</v>
      </c>
      <c r="C1364" s="4" t="s">
        <v>2724</v>
      </c>
      <c r="D1364" s="4" t="s">
        <v>2725</v>
      </c>
      <c r="E1364" s="4"/>
      <c r="F1364" s="18" t="s">
        <v>47</v>
      </c>
      <c r="G1364" s="18" t="s">
        <v>47</v>
      </c>
      <c r="H1364" s="4" t="str">
        <f t="shared" si="3"/>
        <v>1/PC</v>
      </c>
      <c r="I1364" s="4">
        <v>1.0</v>
      </c>
      <c r="J1364" s="3" t="s">
        <v>42</v>
      </c>
      <c r="K1364" s="16">
        <v>552.68</v>
      </c>
      <c r="L1364" s="16"/>
    </row>
    <row r="1365" ht="15.75" customHeight="1">
      <c r="A1365" s="17" t="s">
        <v>2037</v>
      </c>
      <c r="C1365" s="4" t="s">
        <v>2726</v>
      </c>
      <c r="D1365" s="4" t="s">
        <v>2727</v>
      </c>
      <c r="E1365" s="4"/>
      <c r="F1365" s="18" t="s">
        <v>47</v>
      </c>
      <c r="G1365" s="18" t="s">
        <v>47</v>
      </c>
      <c r="H1365" s="4" t="str">
        <f t="shared" si="3"/>
        <v>1/PC</v>
      </c>
      <c r="I1365" s="18">
        <v>1.0</v>
      </c>
      <c r="J1365" s="19" t="s">
        <v>42</v>
      </c>
      <c r="K1365" s="16">
        <v>67.86</v>
      </c>
      <c r="L1365" s="16"/>
    </row>
    <row r="1366" ht="15.75" customHeight="1">
      <c r="A1366" s="17" t="s">
        <v>16</v>
      </c>
      <c r="C1366" s="4" t="s">
        <v>2728</v>
      </c>
      <c r="D1366" s="4" t="s">
        <v>2729</v>
      </c>
      <c r="E1366" s="4"/>
      <c r="F1366" s="18" t="s">
        <v>40</v>
      </c>
      <c r="G1366" s="18" t="s">
        <v>41</v>
      </c>
      <c r="H1366" s="4" t="str">
        <f t="shared" si="3"/>
        <v>100/PACK</v>
      </c>
      <c r="I1366" s="18">
        <v>100.0</v>
      </c>
      <c r="J1366" s="19" t="s">
        <v>23</v>
      </c>
      <c r="K1366" s="16">
        <v>69.64</v>
      </c>
      <c r="L1366" s="16"/>
    </row>
    <row r="1367" ht="15.75" customHeight="1">
      <c r="A1367" s="17" t="s">
        <v>16</v>
      </c>
      <c r="C1367" s="4" t="s">
        <v>2730</v>
      </c>
      <c r="D1367" s="4" t="s">
        <v>2731</v>
      </c>
      <c r="E1367" s="4"/>
      <c r="F1367" s="18" t="s">
        <v>40</v>
      </c>
      <c r="G1367" s="18" t="s">
        <v>41</v>
      </c>
      <c r="H1367" s="4" t="str">
        <f t="shared" si="3"/>
        <v>25/PACK</v>
      </c>
      <c r="I1367" s="18">
        <v>25.0</v>
      </c>
      <c r="J1367" s="19" t="s">
        <v>23</v>
      </c>
      <c r="K1367" s="16">
        <v>18.97</v>
      </c>
      <c r="L1367" s="16"/>
    </row>
    <row r="1368" ht="15.75" customHeight="1">
      <c r="A1368" s="17" t="s">
        <v>16</v>
      </c>
      <c r="C1368" s="4" t="s">
        <v>2732</v>
      </c>
      <c r="D1368" s="4" t="s">
        <v>2733</v>
      </c>
      <c r="E1368" s="4"/>
      <c r="F1368" s="18" t="s">
        <v>40</v>
      </c>
      <c r="G1368" s="18" t="s">
        <v>41</v>
      </c>
      <c r="H1368" s="4" t="str">
        <f t="shared" si="3"/>
        <v>25/Pack</v>
      </c>
      <c r="I1368" s="18">
        <v>25.0</v>
      </c>
      <c r="J1368" s="19" t="s">
        <v>441</v>
      </c>
      <c r="K1368" s="16">
        <v>18.973214285714285</v>
      </c>
      <c r="L1368" s="16"/>
    </row>
    <row r="1369" ht="15.75" customHeight="1">
      <c r="A1369" s="17" t="s">
        <v>2037</v>
      </c>
      <c r="C1369" s="4" t="s">
        <v>2734</v>
      </c>
      <c r="D1369" s="4" t="s">
        <v>2735</v>
      </c>
      <c r="E1369" s="4"/>
      <c r="F1369" s="18" t="s">
        <v>47</v>
      </c>
      <c r="G1369" s="18" t="s">
        <v>47</v>
      </c>
      <c r="H1369" s="4" t="str">
        <f t="shared" si="3"/>
        <v>1/PC</v>
      </c>
      <c r="I1369" s="18">
        <v>1.0</v>
      </c>
      <c r="J1369" s="19" t="s">
        <v>42</v>
      </c>
      <c r="K1369" s="16">
        <v>347.32142857142856</v>
      </c>
      <c r="L1369" s="16"/>
    </row>
    <row r="1370" ht="15.75" customHeight="1">
      <c r="A1370" s="17" t="s">
        <v>2037</v>
      </c>
      <c r="C1370" s="4" t="s">
        <v>2736</v>
      </c>
      <c r="D1370" s="4" t="s">
        <v>2737</v>
      </c>
      <c r="E1370" s="4"/>
      <c r="F1370" s="18" t="s">
        <v>47</v>
      </c>
      <c r="G1370" s="18" t="s">
        <v>47</v>
      </c>
      <c r="H1370" s="4" t="str">
        <f t="shared" si="3"/>
        <v>1/PC</v>
      </c>
      <c r="I1370" s="18">
        <v>1.0</v>
      </c>
      <c r="J1370" s="19" t="s">
        <v>42</v>
      </c>
      <c r="K1370" s="16">
        <v>492.85714285714283</v>
      </c>
      <c r="L1370" s="16"/>
    </row>
    <row r="1371" ht="15.75" customHeight="1">
      <c r="A1371" s="17" t="s">
        <v>2037</v>
      </c>
      <c r="C1371" s="4" t="s">
        <v>2738</v>
      </c>
      <c r="D1371" s="4" t="s">
        <v>2739</v>
      </c>
      <c r="E1371" s="4"/>
      <c r="F1371" s="18" t="s">
        <v>47</v>
      </c>
      <c r="G1371" s="18" t="s">
        <v>47</v>
      </c>
      <c r="H1371" s="4" t="str">
        <f t="shared" si="3"/>
        <v>1/PC</v>
      </c>
      <c r="I1371" s="18">
        <v>1.0</v>
      </c>
      <c r="J1371" s="19" t="s">
        <v>42</v>
      </c>
      <c r="K1371" s="16">
        <v>392.85714285714283</v>
      </c>
      <c r="L1371" s="16"/>
    </row>
    <row r="1372" ht="15.75" customHeight="1">
      <c r="A1372" s="17" t="s">
        <v>2037</v>
      </c>
      <c r="C1372" s="4" t="s">
        <v>2740</v>
      </c>
      <c r="D1372" s="4" t="s">
        <v>2741</v>
      </c>
      <c r="E1372" s="4"/>
      <c r="F1372" s="18" t="s">
        <v>47</v>
      </c>
      <c r="G1372" s="18" t="s">
        <v>47</v>
      </c>
      <c r="H1372" s="4" t="str">
        <f t="shared" si="3"/>
        <v>1/PC</v>
      </c>
      <c r="I1372" s="18">
        <v>1.0</v>
      </c>
      <c r="J1372" s="19" t="s">
        <v>42</v>
      </c>
      <c r="K1372" s="16">
        <v>1899.9999999999998</v>
      </c>
      <c r="L1372" s="16"/>
    </row>
    <row r="1373" ht="15.75" customHeight="1">
      <c r="A1373" s="17" t="s">
        <v>2037</v>
      </c>
      <c r="C1373" s="4" t="s">
        <v>2742</v>
      </c>
      <c r="D1373" s="4" t="s">
        <v>2743</v>
      </c>
      <c r="E1373" s="4"/>
      <c r="F1373" s="18" t="s">
        <v>47</v>
      </c>
      <c r="G1373" s="18" t="s">
        <v>47</v>
      </c>
      <c r="H1373" s="4" t="str">
        <f t="shared" si="3"/>
        <v>1/PC</v>
      </c>
      <c r="I1373" s="18">
        <v>1.0</v>
      </c>
      <c r="J1373" s="19" t="s">
        <v>42</v>
      </c>
      <c r="K1373" s="16">
        <v>912.0535714285713</v>
      </c>
      <c r="L1373" s="16"/>
    </row>
    <row r="1374" ht="15.75" customHeight="1">
      <c r="A1374" s="17" t="s">
        <v>2037</v>
      </c>
      <c r="C1374" s="4" t="s">
        <v>2744</v>
      </c>
      <c r="D1374" s="4" t="s">
        <v>2745</v>
      </c>
      <c r="E1374" s="4"/>
      <c r="F1374" s="18" t="s">
        <v>47</v>
      </c>
      <c r="G1374" s="18" t="s">
        <v>47</v>
      </c>
      <c r="H1374" s="4" t="str">
        <f t="shared" si="3"/>
        <v>1/PC</v>
      </c>
      <c r="I1374" s="18">
        <v>1.0</v>
      </c>
      <c r="J1374" s="19" t="s">
        <v>42</v>
      </c>
      <c r="K1374" s="16">
        <v>579.4642857142857</v>
      </c>
      <c r="L1374" s="16"/>
    </row>
    <row r="1375" ht="15.75" customHeight="1">
      <c r="A1375" s="17" t="s">
        <v>2037</v>
      </c>
      <c r="C1375" s="4" t="s">
        <v>2746</v>
      </c>
      <c r="D1375" s="4" t="s">
        <v>2747</v>
      </c>
      <c r="E1375" s="4"/>
      <c r="F1375" s="18" t="s">
        <v>47</v>
      </c>
      <c r="G1375" s="18" t="s">
        <v>47</v>
      </c>
      <c r="H1375" s="4" t="str">
        <f t="shared" si="3"/>
        <v>1/PC</v>
      </c>
      <c r="I1375" s="18">
        <v>1.0</v>
      </c>
      <c r="J1375" s="19" t="s">
        <v>42</v>
      </c>
      <c r="K1375" s="16">
        <v>427.6785714285714</v>
      </c>
      <c r="L1375" s="16"/>
    </row>
    <row r="1376" ht="15.75" customHeight="1">
      <c r="A1376" s="17" t="s">
        <v>16</v>
      </c>
      <c r="C1376" s="4" t="s">
        <v>2748</v>
      </c>
      <c r="D1376" s="4" t="s">
        <v>2749</v>
      </c>
      <c r="E1376" s="4"/>
      <c r="F1376" s="18" t="s">
        <v>40</v>
      </c>
      <c r="G1376" s="18" t="s">
        <v>367</v>
      </c>
      <c r="H1376" s="4" t="str">
        <f t="shared" si="3"/>
        <v>100/PACK</v>
      </c>
      <c r="I1376" s="18">
        <v>100.0</v>
      </c>
      <c r="J1376" s="19" t="s">
        <v>23</v>
      </c>
      <c r="K1376" s="16">
        <v>80.35714285714285</v>
      </c>
      <c r="L1376" s="16"/>
    </row>
    <row r="1377" ht="15.75" customHeight="1">
      <c r="A1377" s="17" t="s">
        <v>16</v>
      </c>
      <c r="C1377" s="4" t="s">
        <v>2750</v>
      </c>
      <c r="D1377" s="4" t="s">
        <v>2751</v>
      </c>
      <c r="E1377" s="4"/>
      <c r="F1377" s="18" t="s">
        <v>40</v>
      </c>
      <c r="G1377" s="18" t="s">
        <v>367</v>
      </c>
      <c r="H1377" s="4" t="str">
        <f t="shared" si="3"/>
        <v>100/PACK</v>
      </c>
      <c r="I1377" s="18">
        <v>100.0</v>
      </c>
      <c r="J1377" s="19" t="s">
        <v>23</v>
      </c>
      <c r="K1377" s="16">
        <v>325.8928571428571</v>
      </c>
      <c r="L1377" s="16"/>
    </row>
    <row r="1378" ht="15.75" customHeight="1">
      <c r="A1378" s="17" t="s">
        <v>2037</v>
      </c>
      <c r="C1378" s="4" t="s">
        <v>2752</v>
      </c>
      <c r="D1378" s="4" t="s">
        <v>2753</v>
      </c>
      <c r="E1378" s="4"/>
      <c r="F1378" s="18" t="s">
        <v>47</v>
      </c>
      <c r="G1378" s="18" t="s">
        <v>47</v>
      </c>
      <c r="H1378" s="4" t="str">
        <f t="shared" si="3"/>
        <v>1/PC</v>
      </c>
      <c r="I1378" s="18">
        <v>1.0</v>
      </c>
      <c r="J1378" s="19" t="s">
        <v>42</v>
      </c>
      <c r="K1378" s="16">
        <v>187.49999999999997</v>
      </c>
      <c r="L1378" s="16"/>
    </row>
    <row r="1379" ht="15.75" customHeight="1">
      <c r="A1379" s="17" t="s">
        <v>2037</v>
      </c>
      <c r="C1379" s="4" t="s">
        <v>2754</v>
      </c>
      <c r="D1379" s="4" t="s">
        <v>2755</v>
      </c>
      <c r="E1379" s="4"/>
      <c r="F1379" s="18" t="s">
        <v>47</v>
      </c>
      <c r="G1379" s="18" t="s">
        <v>47</v>
      </c>
      <c r="H1379" s="4" t="str">
        <f t="shared" si="3"/>
        <v>1/PC</v>
      </c>
      <c r="I1379" s="18">
        <v>1.0</v>
      </c>
      <c r="J1379" s="19" t="s">
        <v>42</v>
      </c>
      <c r="K1379" s="16">
        <v>116.96428571428571</v>
      </c>
      <c r="L1379" s="16"/>
    </row>
    <row r="1380" ht="15.75" customHeight="1">
      <c r="A1380" s="17" t="s">
        <v>2037</v>
      </c>
      <c r="C1380" s="4" t="s">
        <v>2756</v>
      </c>
      <c r="D1380" s="4" t="s">
        <v>2757</v>
      </c>
      <c r="E1380" s="4"/>
      <c r="F1380" s="18" t="s">
        <v>47</v>
      </c>
      <c r="G1380" s="18" t="s">
        <v>47</v>
      </c>
      <c r="H1380" s="4" t="str">
        <f t="shared" si="3"/>
        <v>1/PC</v>
      </c>
      <c r="I1380" s="18">
        <v>1.0</v>
      </c>
      <c r="J1380" s="19" t="s">
        <v>42</v>
      </c>
      <c r="K1380" s="16">
        <v>218.07</v>
      </c>
      <c r="L1380" s="16"/>
    </row>
    <row r="1381" ht="15.75" customHeight="1">
      <c r="A1381" s="17" t="s">
        <v>2037</v>
      </c>
      <c r="C1381" s="4" t="s">
        <v>2758</v>
      </c>
      <c r="D1381" s="4" t="s">
        <v>2759</v>
      </c>
      <c r="E1381" s="4"/>
      <c r="F1381" s="18" t="s">
        <v>47</v>
      </c>
      <c r="G1381" s="18" t="s">
        <v>47</v>
      </c>
      <c r="H1381" s="4" t="str">
        <f t="shared" si="3"/>
        <v>1/PC</v>
      </c>
      <c r="I1381" s="18">
        <v>1.0</v>
      </c>
      <c r="J1381" s="19" t="s">
        <v>42</v>
      </c>
      <c r="K1381" s="16">
        <v>148.2517857142857</v>
      </c>
      <c r="L1381" s="16"/>
    </row>
    <row r="1382" ht="15.75" customHeight="1">
      <c r="A1382" s="17" t="s">
        <v>2037</v>
      </c>
      <c r="C1382" s="4" t="s">
        <v>2760</v>
      </c>
      <c r="D1382" s="4" t="s">
        <v>2761</v>
      </c>
      <c r="E1382" s="4"/>
      <c r="F1382" s="18" t="s">
        <v>47</v>
      </c>
      <c r="G1382" s="18" t="s">
        <v>47</v>
      </c>
      <c r="H1382" s="4" t="str">
        <f t="shared" si="3"/>
        <v>1/PC</v>
      </c>
      <c r="I1382" s="18">
        <v>1.0</v>
      </c>
      <c r="J1382" s="19" t="s">
        <v>42</v>
      </c>
      <c r="K1382" s="16">
        <v>177.4160714285714</v>
      </c>
      <c r="L1382" s="16"/>
    </row>
    <row r="1383" ht="15.75" customHeight="1">
      <c r="A1383" s="17" t="s">
        <v>2037</v>
      </c>
      <c r="C1383" s="4" t="s">
        <v>2762</v>
      </c>
      <c r="D1383" s="4" t="s">
        <v>2763</v>
      </c>
      <c r="E1383" s="4"/>
      <c r="F1383" s="18" t="s">
        <v>47</v>
      </c>
      <c r="G1383" s="18" t="s">
        <v>47</v>
      </c>
      <c r="H1383" s="4" t="str">
        <f t="shared" si="3"/>
        <v>1/PC</v>
      </c>
      <c r="I1383" s="18">
        <v>1.0</v>
      </c>
      <c r="J1383" s="19" t="s">
        <v>42</v>
      </c>
      <c r="K1383" s="16">
        <v>114.2267857142857</v>
      </c>
      <c r="L1383" s="16"/>
    </row>
    <row r="1384" ht="15.75" customHeight="1">
      <c r="A1384" s="17" t="s">
        <v>2037</v>
      </c>
      <c r="C1384" s="4" t="s">
        <v>2764</v>
      </c>
      <c r="D1384" s="4" t="s">
        <v>2765</v>
      </c>
      <c r="E1384" s="4"/>
      <c r="F1384" s="18" t="s">
        <v>47</v>
      </c>
      <c r="G1384" s="18" t="s">
        <v>47</v>
      </c>
      <c r="H1384" s="4" t="str">
        <f t="shared" si="3"/>
        <v>1/PC</v>
      </c>
      <c r="I1384" s="18">
        <v>1.0</v>
      </c>
      <c r="J1384" s="19" t="s">
        <v>42</v>
      </c>
      <c r="K1384" s="16">
        <v>130.35714285714283</v>
      </c>
      <c r="L1384" s="16"/>
    </row>
    <row r="1385" ht="15.75" customHeight="1">
      <c r="A1385" s="17" t="s">
        <v>2037</v>
      </c>
      <c r="C1385" s="4" t="s">
        <v>2766</v>
      </c>
      <c r="D1385" s="4" t="s">
        <v>2767</v>
      </c>
      <c r="E1385" s="4"/>
      <c r="F1385" s="18" t="s">
        <v>47</v>
      </c>
      <c r="G1385" s="18" t="s">
        <v>47</v>
      </c>
      <c r="H1385" s="4" t="str">
        <f t="shared" si="3"/>
        <v>1/PC</v>
      </c>
      <c r="I1385" s="18">
        <v>1.0</v>
      </c>
      <c r="J1385" s="19" t="s">
        <v>42</v>
      </c>
      <c r="K1385" s="16">
        <v>133.92857142857142</v>
      </c>
      <c r="L1385" s="16"/>
    </row>
    <row r="1386" ht="15.75" customHeight="1">
      <c r="A1386" s="17" t="s">
        <v>2037</v>
      </c>
      <c r="C1386" s="4" t="s">
        <v>2768</v>
      </c>
      <c r="D1386" s="4" t="s">
        <v>2769</v>
      </c>
      <c r="E1386" s="4"/>
      <c r="F1386" s="18" t="s">
        <v>47</v>
      </c>
      <c r="G1386" s="18" t="s">
        <v>47</v>
      </c>
      <c r="H1386" s="4" t="str">
        <f t="shared" si="3"/>
        <v>1/PC</v>
      </c>
      <c r="I1386" s="18">
        <v>1.0</v>
      </c>
      <c r="J1386" s="19" t="s">
        <v>42</v>
      </c>
      <c r="K1386" s="16">
        <v>184.70714285714283</v>
      </c>
      <c r="L1386" s="16"/>
    </row>
    <row r="1387" ht="15.75" customHeight="1">
      <c r="A1387" s="17" t="s">
        <v>2037</v>
      </c>
      <c r="C1387" s="4" t="s">
        <v>2770</v>
      </c>
      <c r="D1387" s="4" t="s">
        <v>2771</v>
      </c>
      <c r="E1387" s="4"/>
      <c r="F1387" s="18" t="s">
        <v>47</v>
      </c>
      <c r="G1387" s="18" t="s">
        <v>47</v>
      </c>
      <c r="H1387" s="4" t="str">
        <f t="shared" si="3"/>
        <v>6/Box</v>
      </c>
      <c r="I1387" s="4">
        <v>6.0</v>
      </c>
      <c r="J1387" s="3" t="s">
        <v>2450</v>
      </c>
      <c r="K1387" s="16">
        <v>490.8482142857142</v>
      </c>
      <c r="L1387" s="16"/>
    </row>
    <row r="1388" ht="15.75" customHeight="1">
      <c r="A1388" s="17" t="s">
        <v>2037</v>
      </c>
      <c r="C1388" s="4" t="s">
        <v>2772</v>
      </c>
      <c r="D1388" s="4" t="s">
        <v>2773</v>
      </c>
      <c r="E1388" s="4"/>
      <c r="F1388" s="18" t="s">
        <v>2415</v>
      </c>
      <c r="G1388" s="18" t="s">
        <v>2415</v>
      </c>
      <c r="H1388" s="4" t="str">
        <f t="shared" si="3"/>
        <v>1/PC</v>
      </c>
      <c r="I1388" s="18">
        <v>1.0</v>
      </c>
      <c r="J1388" s="19" t="s">
        <v>42</v>
      </c>
      <c r="K1388" s="16">
        <v>132.44047619047618</v>
      </c>
      <c r="L1388" s="16"/>
    </row>
    <row r="1389" ht="15.75" customHeight="1">
      <c r="A1389" s="17" t="s">
        <v>2037</v>
      </c>
      <c r="C1389" s="4" t="s">
        <v>2774</v>
      </c>
      <c r="D1389" s="4" t="s">
        <v>2775</v>
      </c>
      <c r="E1389" s="4"/>
      <c r="F1389" s="18" t="s">
        <v>47</v>
      </c>
      <c r="G1389" s="18" t="s">
        <v>47</v>
      </c>
      <c r="H1389" s="4" t="str">
        <f t="shared" si="3"/>
        <v>1/PC</v>
      </c>
      <c r="I1389" s="18">
        <v>1.0</v>
      </c>
      <c r="J1389" s="19" t="s">
        <v>42</v>
      </c>
      <c r="K1389" s="16">
        <v>77.28535714285714</v>
      </c>
      <c r="L1389" s="16"/>
    </row>
    <row r="1390" ht="15.75" customHeight="1">
      <c r="A1390" s="17" t="s">
        <v>16</v>
      </c>
      <c r="C1390" s="4" t="s">
        <v>2776</v>
      </c>
      <c r="D1390" s="4" t="s">
        <v>2777</v>
      </c>
      <c r="E1390" s="4"/>
      <c r="F1390" s="18" t="s">
        <v>40</v>
      </c>
      <c r="G1390" s="18" t="s">
        <v>367</v>
      </c>
      <c r="H1390" s="4" t="str">
        <f t="shared" si="3"/>
        <v>1000/PACK</v>
      </c>
      <c r="I1390" s="18">
        <v>1000.0</v>
      </c>
      <c r="J1390" s="19" t="s">
        <v>23</v>
      </c>
      <c r="K1390" s="16">
        <v>1142.86</v>
      </c>
      <c r="L1390" s="16"/>
    </row>
    <row r="1391" ht="15.75" customHeight="1">
      <c r="A1391" s="17" t="s">
        <v>16</v>
      </c>
      <c r="C1391" s="4" t="s">
        <v>2778</v>
      </c>
      <c r="D1391" s="4" t="s">
        <v>2779</v>
      </c>
      <c r="E1391" s="4"/>
      <c r="F1391" s="18" t="s">
        <v>40</v>
      </c>
      <c r="G1391" s="18" t="s">
        <v>367</v>
      </c>
      <c r="H1391" s="4" t="str">
        <f t="shared" si="3"/>
        <v>100/Pack</v>
      </c>
      <c r="I1391" s="18">
        <v>100.0</v>
      </c>
      <c r="J1391" s="19" t="s">
        <v>441</v>
      </c>
      <c r="K1391" s="16">
        <v>107.14285714285714</v>
      </c>
      <c r="L1391" s="16"/>
    </row>
    <row r="1392" ht="15.75" customHeight="1">
      <c r="A1392" s="17" t="s">
        <v>2037</v>
      </c>
      <c r="C1392" s="4" t="s">
        <v>2780</v>
      </c>
      <c r="D1392" s="4" t="s">
        <v>2781</v>
      </c>
      <c r="E1392" s="4"/>
      <c r="F1392" s="18" t="s">
        <v>2415</v>
      </c>
      <c r="G1392" s="18" t="s">
        <v>2415</v>
      </c>
      <c r="H1392" s="4" t="str">
        <f t="shared" si="3"/>
        <v>1/Unit</v>
      </c>
      <c r="I1392" s="18">
        <v>1.0</v>
      </c>
      <c r="J1392" s="19" t="s">
        <v>2399</v>
      </c>
      <c r="K1392" s="16">
        <v>59499.99999999999</v>
      </c>
      <c r="L1392" s="16"/>
    </row>
    <row r="1393" ht="15.75" customHeight="1">
      <c r="A1393" s="17" t="s">
        <v>2037</v>
      </c>
      <c r="C1393" s="4" t="s">
        <v>2782</v>
      </c>
      <c r="D1393" s="4" t="s">
        <v>2783</v>
      </c>
      <c r="E1393" s="4"/>
      <c r="F1393" s="18" t="s">
        <v>47</v>
      </c>
      <c r="G1393" s="18" t="s">
        <v>47</v>
      </c>
      <c r="H1393" s="4" t="str">
        <f t="shared" si="3"/>
        <v>1/Unit</v>
      </c>
      <c r="I1393" s="18">
        <v>1.0</v>
      </c>
      <c r="J1393" s="19" t="s">
        <v>2399</v>
      </c>
      <c r="K1393" s="16">
        <v>44642.85714285714</v>
      </c>
      <c r="L1393" s="16"/>
    </row>
    <row r="1394" ht="15.75" customHeight="1">
      <c r="A1394" s="17" t="s">
        <v>16</v>
      </c>
      <c r="C1394" s="4" t="s">
        <v>2784</v>
      </c>
      <c r="D1394" s="4" t="s">
        <v>2785</v>
      </c>
      <c r="E1394" s="4"/>
      <c r="F1394" s="18" t="s">
        <v>40</v>
      </c>
      <c r="G1394" s="18" t="s">
        <v>367</v>
      </c>
      <c r="H1394" s="4" t="str">
        <f t="shared" si="3"/>
        <v>1/BOT</v>
      </c>
      <c r="I1394" s="18">
        <v>1.0</v>
      </c>
      <c r="J1394" s="19" t="s">
        <v>113</v>
      </c>
      <c r="K1394" s="16">
        <v>423.46428571428567</v>
      </c>
      <c r="L1394" s="16"/>
    </row>
    <row r="1395" ht="15.75" customHeight="1">
      <c r="A1395" s="17" t="s">
        <v>2037</v>
      </c>
      <c r="C1395" s="4" t="s">
        <v>2786</v>
      </c>
      <c r="D1395" s="4" t="s">
        <v>2787</v>
      </c>
      <c r="E1395" s="4"/>
      <c r="F1395" s="18" t="s">
        <v>47</v>
      </c>
      <c r="G1395" s="18" t="s">
        <v>47</v>
      </c>
      <c r="H1395" s="4" t="str">
        <f t="shared" si="3"/>
        <v>5000/GAL</v>
      </c>
      <c r="I1395" s="18">
        <v>5000.0</v>
      </c>
      <c r="J1395" s="19" t="s">
        <v>2095</v>
      </c>
      <c r="K1395" s="16">
        <v>392.90178571428567</v>
      </c>
      <c r="L1395" s="16"/>
    </row>
    <row r="1396" ht="15.75" customHeight="1">
      <c r="A1396" s="17" t="s">
        <v>2037</v>
      </c>
      <c r="C1396" s="4" t="s">
        <v>2788</v>
      </c>
      <c r="D1396" s="4" t="s">
        <v>2789</v>
      </c>
      <c r="E1396" s="4"/>
      <c r="F1396" s="18" t="s">
        <v>2415</v>
      </c>
      <c r="G1396" s="18" t="s">
        <v>2415</v>
      </c>
      <c r="H1396" s="4" t="str">
        <f t="shared" si="3"/>
        <v>1/UNIT</v>
      </c>
      <c r="I1396" s="18">
        <v>1.0</v>
      </c>
      <c r="J1396" s="19" t="s">
        <v>2416</v>
      </c>
      <c r="K1396" s="16">
        <v>33571.428571428565</v>
      </c>
      <c r="L1396" s="16"/>
    </row>
    <row r="1397" ht="15.75" customHeight="1">
      <c r="A1397" s="17" t="s">
        <v>2037</v>
      </c>
      <c r="C1397" s="4" t="s">
        <v>2790</v>
      </c>
      <c r="D1397" s="4" t="s">
        <v>2791</v>
      </c>
      <c r="E1397" s="4"/>
      <c r="F1397" s="18" t="s">
        <v>47</v>
      </c>
      <c r="G1397" s="18" t="s">
        <v>47</v>
      </c>
      <c r="H1397" s="4" t="str">
        <f t="shared" si="3"/>
        <v>1/PC</v>
      </c>
      <c r="I1397" s="18">
        <v>1.0</v>
      </c>
      <c r="J1397" s="19" t="s">
        <v>42</v>
      </c>
      <c r="K1397" s="16">
        <v>461.25</v>
      </c>
      <c r="L1397" s="16"/>
    </row>
    <row r="1398" ht="15.75" customHeight="1">
      <c r="A1398" s="18" t="s">
        <v>2037</v>
      </c>
      <c r="B1398" s="18"/>
      <c r="C1398" s="4" t="s">
        <v>2792</v>
      </c>
      <c r="D1398" s="4" t="s">
        <v>2793</v>
      </c>
      <c r="E1398" s="4"/>
      <c r="F1398" s="18" t="s">
        <v>2395</v>
      </c>
      <c r="G1398" s="18" t="s">
        <v>2395</v>
      </c>
      <c r="H1398" s="4" t="str">
        <f t="shared" si="3"/>
        <v>1/UNIT</v>
      </c>
      <c r="I1398" s="18">
        <v>1.0</v>
      </c>
      <c r="J1398" s="19" t="s">
        <v>2416</v>
      </c>
      <c r="K1398" s="16">
        <v>210357.14285714284</v>
      </c>
      <c r="L1398" s="16"/>
    </row>
    <row r="1399" ht="15.75" customHeight="1">
      <c r="A1399" s="17" t="s">
        <v>2037</v>
      </c>
      <c r="C1399" s="4" t="s">
        <v>2794</v>
      </c>
      <c r="D1399" s="4" t="s">
        <v>2795</v>
      </c>
      <c r="E1399" s="4"/>
      <c r="F1399" s="18" t="s">
        <v>47</v>
      </c>
      <c r="G1399" s="18" t="s">
        <v>47</v>
      </c>
      <c r="H1399" s="4" t="str">
        <f t="shared" si="3"/>
        <v>1/PC</v>
      </c>
      <c r="I1399" s="18">
        <v>1.0</v>
      </c>
      <c r="J1399" s="19" t="s">
        <v>42</v>
      </c>
      <c r="K1399" s="16">
        <v>89.28571428571428</v>
      </c>
      <c r="L1399" s="16"/>
    </row>
    <row r="1400" ht="15.75" customHeight="1">
      <c r="A1400" s="17" t="s">
        <v>16</v>
      </c>
      <c r="C1400" s="46" t="s">
        <v>2796</v>
      </c>
      <c r="D1400" s="46" t="s">
        <v>2797</v>
      </c>
      <c r="E1400" s="46"/>
      <c r="F1400" s="18" t="s">
        <v>40</v>
      </c>
      <c r="G1400" s="18" t="s">
        <v>41</v>
      </c>
      <c r="H1400" s="4" t="str">
        <f t="shared" si="3"/>
        <v>100/PACK</v>
      </c>
      <c r="I1400" s="18">
        <v>100.0</v>
      </c>
      <c r="J1400" s="19" t="s">
        <v>23</v>
      </c>
      <c r="K1400" s="16">
        <v>31.25</v>
      </c>
      <c r="L1400" s="16"/>
    </row>
    <row r="1401" ht="15.75" customHeight="1">
      <c r="A1401" s="17" t="s">
        <v>2037</v>
      </c>
      <c r="C1401" s="4" t="s">
        <v>2798</v>
      </c>
      <c r="D1401" s="4" t="s">
        <v>2799</v>
      </c>
      <c r="E1401" s="4"/>
      <c r="F1401" s="18" t="s">
        <v>47</v>
      </c>
      <c r="G1401" s="18" t="s">
        <v>47</v>
      </c>
      <c r="H1401" s="4" t="str">
        <f t="shared" si="3"/>
        <v>1/pc</v>
      </c>
      <c r="I1401" s="18">
        <v>1.0</v>
      </c>
      <c r="J1401" s="19" t="s">
        <v>321</v>
      </c>
      <c r="K1401" s="16">
        <v>11800.0</v>
      </c>
      <c r="L1401" s="16"/>
    </row>
    <row r="1402" ht="15.75" customHeight="1">
      <c r="A1402" s="17" t="s">
        <v>16</v>
      </c>
      <c r="C1402" s="4" t="s">
        <v>2800</v>
      </c>
      <c r="D1402" s="4" t="s">
        <v>2801</v>
      </c>
      <c r="E1402" s="4"/>
      <c r="F1402" s="18" t="s">
        <v>40</v>
      </c>
      <c r="G1402" s="18" t="s">
        <v>367</v>
      </c>
      <c r="H1402" s="4" t="str">
        <f t="shared" si="3"/>
        <v>150/Pack</v>
      </c>
      <c r="I1402" s="18">
        <v>150.0</v>
      </c>
      <c r="J1402" s="19" t="s">
        <v>441</v>
      </c>
      <c r="K1402" s="16">
        <v>16.517857142857142</v>
      </c>
      <c r="L1402" s="16"/>
    </row>
    <row r="1403" ht="15.75" customHeight="1">
      <c r="A1403" s="17" t="s">
        <v>2037</v>
      </c>
      <c r="C1403" s="4" t="s">
        <v>2802</v>
      </c>
      <c r="D1403" s="4" t="s">
        <v>2803</v>
      </c>
      <c r="E1403" s="4"/>
      <c r="F1403" s="18" t="s">
        <v>2261</v>
      </c>
      <c r="G1403" s="18" t="s">
        <v>2261</v>
      </c>
      <c r="H1403" s="4" t="str">
        <f t="shared" si="3"/>
        <v>1/PC</v>
      </c>
      <c r="I1403" s="18">
        <v>1.0</v>
      </c>
      <c r="J1403" s="19" t="s">
        <v>42</v>
      </c>
      <c r="K1403" s="16">
        <v>116.61300000000001</v>
      </c>
      <c r="L1403" s="16"/>
    </row>
    <row r="1404" ht="15.75" customHeight="1">
      <c r="A1404" s="17" t="s">
        <v>2037</v>
      </c>
      <c r="C1404" s="4" t="s">
        <v>2804</v>
      </c>
      <c r="D1404" s="4" t="s">
        <v>2805</v>
      </c>
      <c r="E1404" s="4"/>
      <c r="F1404" s="18" t="s">
        <v>2261</v>
      </c>
      <c r="G1404" s="18" t="s">
        <v>2261</v>
      </c>
      <c r="H1404" s="4" t="str">
        <f t="shared" si="3"/>
        <v>1/PC</v>
      </c>
      <c r="I1404" s="18">
        <v>1.0</v>
      </c>
      <c r="J1404" s="19" t="s">
        <v>42</v>
      </c>
      <c r="K1404" s="16">
        <v>99.95400000000001</v>
      </c>
      <c r="L1404" s="16"/>
    </row>
    <row r="1405" ht="15.75" customHeight="1">
      <c r="A1405" s="17" t="s">
        <v>2037</v>
      </c>
      <c r="C1405" s="4" t="s">
        <v>2806</v>
      </c>
      <c r="D1405" s="4" t="s">
        <v>2807</v>
      </c>
      <c r="E1405" s="4"/>
      <c r="F1405" s="18" t="s">
        <v>2415</v>
      </c>
      <c r="G1405" s="18" t="s">
        <v>2415</v>
      </c>
      <c r="H1405" s="4" t="str">
        <f t="shared" si="3"/>
        <v>1/UNIT</v>
      </c>
      <c r="I1405" s="18">
        <v>1.0</v>
      </c>
      <c r="J1405" s="19" t="s">
        <v>2416</v>
      </c>
      <c r="K1405" s="16">
        <v>11562.499999999998</v>
      </c>
      <c r="L1405" s="16"/>
    </row>
    <row r="1406" ht="15.75" customHeight="1">
      <c r="A1406" s="17" t="s">
        <v>2037</v>
      </c>
      <c r="C1406" s="4" t="s">
        <v>2808</v>
      </c>
      <c r="D1406" s="44" t="s">
        <v>2809</v>
      </c>
      <c r="E1406" s="44"/>
      <c r="F1406" s="18" t="s">
        <v>47</v>
      </c>
      <c r="G1406" s="18" t="s">
        <v>47</v>
      </c>
      <c r="H1406" s="4" t="str">
        <f t="shared" si="3"/>
        <v>1/PC</v>
      </c>
      <c r="I1406" s="18">
        <v>1.0</v>
      </c>
      <c r="J1406" s="3" t="s">
        <v>42</v>
      </c>
      <c r="K1406" s="16">
        <v>977.1428571428571</v>
      </c>
      <c r="L1406" s="16"/>
    </row>
    <row r="1407" ht="15.75" customHeight="1">
      <c r="A1407" s="17" t="s">
        <v>2037</v>
      </c>
      <c r="C1407" s="4" t="s">
        <v>2810</v>
      </c>
      <c r="D1407" s="4" t="s">
        <v>2811</v>
      </c>
      <c r="E1407" s="4"/>
      <c r="F1407" s="18" t="s">
        <v>47</v>
      </c>
      <c r="G1407" s="18" t="s">
        <v>47</v>
      </c>
      <c r="H1407" s="4" t="str">
        <f t="shared" si="3"/>
        <v>1/PC</v>
      </c>
      <c r="I1407" s="18">
        <v>1.0</v>
      </c>
      <c r="J1407" s="19" t="s">
        <v>42</v>
      </c>
      <c r="K1407" s="16">
        <v>748.1249999999999</v>
      </c>
      <c r="L1407" s="16"/>
    </row>
    <row r="1408" ht="15.75" customHeight="1">
      <c r="A1408" s="17" t="s">
        <v>2037</v>
      </c>
      <c r="C1408" s="4" t="s">
        <v>2812</v>
      </c>
      <c r="D1408" s="4" t="s">
        <v>2813</v>
      </c>
      <c r="E1408" s="4"/>
      <c r="F1408" s="18" t="s">
        <v>47</v>
      </c>
      <c r="G1408" s="18" t="s">
        <v>47</v>
      </c>
      <c r="H1408" s="4" t="str">
        <f t="shared" si="3"/>
        <v>1/PC</v>
      </c>
      <c r="I1408" s="18">
        <v>1.0</v>
      </c>
      <c r="J1408" s="3" t="s">
        <v>42</v>
      </c>
      <c r="K1408" s="16">
        <v>1284.910714285714</v>
      </c>
      <c r="L1408" s="16"/>
    </row>
    <row r="1409" ht="15.75" customHeight="1">
      <c r="A1409" s="17" t="s">
        <v>2037</v>
      </c>
      <c r="C1409" s="4" t="s">
        <v>2814</v>
      </c>
      <c r="D1409" s="4" t="s">
        <v>2815</v>
      </c>
      <c r="E1409" s="4"/>
      <c r="F1409" s="18" t="s">
        <v>47</v>
      </c>
      <c r="G1409" s="18" t="s">
        <v>47</v>
      </c>
      <c r="H1409" s="4" t="str">
        <f t="shared" si="3"/>
        <v>1/PC</v>
      </c>
      <c r="I1409" s="18">
        <v>1.0</v>
      </c>
      <c r="J1409" s="19" t="s">
        <v>42</v>
      </c>
      <c r="K1409" s="16">
        <v>1110.54</v>
      </c>
      <c r="L1409" s="16"/>
    </row>
    <row r="1410" ht="15.75" customHeight="1">
      <c r="A1410" s="17" t="s">
        <v>2037</v>
      </c>
      <c r="C1410" s="4" t="s">
        <v>2816</v>
      </c>
      <c r="D1410" s="4" t="s">
        <v>2817</v>
      </c>
      <c r="E1410" s="4"/>
      <c r="F1410" s="18" t="s">
        <v>47</v>
      </c>
      <c r="G1410" s="18" t="s">
        <v>47</v>
      </c>
      <c r="H1410" s="4" t="str">
        <f t="shared" si="3"/>
        <v>1/PC</v>
      </c>
      <c r="I1410" s="18">
        <v>1.0</v>
      </c>
      <c r="J1410" s="19" t="s">
        <v>42</v>
      </c>
      <c r="K1410" s="16">
        <v>143.59821428571428</v>
      </c>
      <c r="L1410" s="16"/>
    </row>
    <row r="1411" ht="15.75" customHeight="1">
      <c r="A1411" s="17" t="s">
        <v>16</v>
      </c>
      <c r="C1411" s="4" t="s">
        <v>2818</v>
      </c>
      <c r="D1411" s="4" t="s">
        <v>2819</v>
      </c>
      <c r="E1411" s="4"/>
      <c r="F1411" s="18" t="s">
        <v>40</v>
      </c>
      <c r="G1411" s="18" t="s">
        <v>41</v>
      </c>
      <c r="H1411" s="4" t="str">
        <f t="shared" si="3"/>
        <v>25/PACK</v>
      </c>
      <c r="I1411" s="18">
        <v>25.0</v>
      </c>
      <c r="J1411" s="19" t="s">
        <v>23</v>
      </c>
      <c r="K1411" s="16">
        <v>18.97</v>
      </c>
      <c r="L1411" s="16"/>
    </row>
    <row r="1412" ht="15.75" customHeight="1">
      <c r="A1412" s="17" t="s">
        <v>2037</v>
      </c>
      <c r="C1412" s="4" t="s">
        <v>2820</v>
      </c>
      <c r="D1412" s="4" t="s">
        <v>2821</v>
      </c>
      <c r="E1412" s="4"/>
      <c r="F1412" s="18" t="s">
        <v>47</v>
      </c>
      <c r="G1412" s="18" t="s">
        <v>47</v>
      </c>
      <c r="H1412" s="4" t="str">
        <f t="shared" si="3"/>
        <v>1/PC</v>
      </c>
      <c r="I1412" s="18">
        <v>1.0</v>
      </c>
      <c r="J1412" s="19" t="s">
        <v>42</v>
      </c>
      <c r="K1412" s="16">
        <v>169.64285714285714</v>
      </c>
      <c r="L1412" s="16"/>
    </row>
    <row r="1413" ht="15.75" customHeight="1">
      <c r="A1413" s="17" t="s">
        <v>2037</v>
      </c>
      <c r="C1413" s="4" t="s">
        <v>2822</v>
      </c>
      <c r="D1413" s="4" t="s">
        <v>2823</v>
      </c>
      <c r="E1413" s="4"/>
      <c r="F1413" s="18" t="s">
        <v>47</v>
      </c>
      <c r="G1413" s="18" t="s">
        <v>47</v>
      </c>
      <c r="H1413" s="4" t="str">
        <f t="shared" si="3"/>
        <v>50/PACK</v>
      </c>
      <c r="I1413" s="18">
        <v>50.0</v>
      </c>
      <c r="J1413" s="19" t="s">
        <v>23</v>
      </c>
      <c r="K1413" s="16">
        <v>37.94642857142857</v>
      </c>
      <c r="L1413" s="16"/>
    </row>
    <row r="1414" ht="15.75" customHeight="1">
      <c r="A1414" s="17" t="s">
        <v>2037</v>
      </c>
      <c r="C1414" s="4" t="s">
        <v>2824</v>
      </c>
      <c r="D1414" s="4" t="s">
        <v>2825</v>
      </c>
      <c r="E1414" s="4"/>
      <c r="F1414" s="18" t="s">
        <v>47</v>
      </c>
      <c r="G1414" s="18" t="s">
        <v>47</v>
      </c>
      <c r="H1414" s="4" t="str">
        <f t="shared" si="3"/>
        <v>1/PC</v>
      </c>
      <c r="I1414" s="18">
        <v>1.0</v>
      </c>
      <c r="J1414" s="19" t="s">
        <v>42</v>
      </c>
      <c r="K1414" s="16">
        <v>130.35714285714283</v>
      </c>
      <c r="L1414" s="16"/>
    </row>
    <row r="1415" ht="15.75" customHeight="1">
      <c r="A1415" s="17" t="s">
        <v>2037</v>
      </c>
      <c r="C1415" s="4" t="s">
        <v>2826</v>
      </c>
      <c r="D1415" s="4" t="s">
        <v>2827</v>
      </c>
      <c r="E1415" s="4"/>
      <c r="F1415" s="18" t="s">
        <v>47</v>
      </c>
      <c r="G1415" s="18" t="s">
        <v>47</v>
      </c>
      <c r="H1415" s="4" t="str">
        <f t="shared" si="3"/>
        <v>1/PC</v>
      </c>
      <c r="I1415" s="4">
        <v>1.0</v>
      </c>
      <c r="J1415" s="3" t="s">
        <v>42</v>
      </c>
      <c r="K1415" s="16">
        <v>61.607142857142854</v>
      </c>
      <c r="L1415" s="16"/>
    </row>
    <row r="1416" ht="15.75" customHeight="1">
      <c r="A1416" s="17" t="s">
        <v>2037</v>
      </c>
      <c r="C1416" s="4" t="s">
        <v>2828</v>
      </c>
      <c r="D1416" s="4" t="s">
        <v>2829</v>
      </c>
      <c r="E1416" s="4"/>
      <c r="F1416" s="18" t="s">
        <v>47</v>
      </c>
      <c r="G1416" s="18" t="s">
        <v>47</v>
      </c>
      <c r="H1416" s="4" t="str">
        <f t="shared" si="3"/>
        <v>1/PC</v>
      </c>
      <c r="I1416" s="4">
        <v>1.0</v>
      </c>
      <c r="J1416" s="3" t="s">
        <v>42</v>
      </c>
      <c r="K1416" s="16">
        <v>53.57142857142857</v>
      </c>
      <c r="L1416" s="16"/>
    </row>
    <row r="1417" ht="15.75" customHeight="1">
      <c r="A1417" s="17" t="s">
        <v>2037</v>
      </c>
      <c r="C1417" s="4" t="s">
        <v>2830</v>
      </c>
      <c r="D1417" s="4" t="s">
        <v>2831</v>
      </c>
      <c r="E1417" s="4"/>
      <c r="F1417" s="18" t="s">
        <v>2415</v>
      </c>
      <c r="G1417" s="18" t="s">
        <v>2415</v>
      </c>
      <c r="H1417" s="4" t="str">
        <f t="shared" si="3"/>
        <v>1/UNIT</v>
      </c>
      <c r="I1417" s="4">
        <v>1.0</v>
      </c>
      <c r="J1417" s="3" t="s">
        <v>2416</v>
      </c>
      <c r="K1417" s="16">
        <v>29464.28571428571</v>
      </c>
      <c r="L1417" s="16"/>
    </row>
    <row r="1418" ht="15.75" customHeight="1">
      <c r="A1418" s="17" t="s">
        <v>2037</v>
      </c>
      <c r="C1418" s="4" t="s">
        <v>2832</v>
      </c>
      <c r="D1418" s="4" t="s">
        <v>2833</v>
      </c>
      <c r="E1418" s="4"/>
      <c r="F1418" s="18" t="s">
        <v>47</v>
      </c>
      <c r="G1418" s="18" t="s">
        <v>47</v>
      </c>
      <c r="H1418" s="4" t="str">
        <f t="shared" si="3"/>
        <v>1/PC</v>
      </c>
      <c r="I1418" s="4">
        <v>1.0</v>
      </c>
      <c r="J1418" s="3" t="s">
        <v>42</v>
      </c>
      <c r="K1418" s="16">
        <v>369.64</v>
      </c>
      <c r="L1418" s="16"/>
    </row>
    <row r="1419" ht="15.75" customHeight="1">
      <c r="A1419" s="17" t="s">
        <v>16</v>
      </c>
      <c r="C1419" s="4" t="s">
        <v>2834</v>
      </c>
      <c r="D1419" s="4" t="s">
        <v>2835</v>
      </c>
      <c r="E1419" s="4"/>
      <c r="F1419" s="18" t="s">
        <v>40</v>
      </c>
      <c r="G1419" s="18" t="s">
        <v>41</v>
      </c>
      <c r="H1419" s="4" t="str">
        <f t="shared" si="3"/>
        <v>50/SLV</v>
      </c>
      <c r="I1419" s="4">
        <v>50.0</v>
      </c>
      <c r="J1419" s="3" t="s">
        <v>2529</v>
      </c>
      <c r="K1419" s="16">
        <v>34.03</v>
      </c>
      <c r="L1419" s="16"/>
    </row>
    <row r="1420" ht="15.75" customHeight="1">
      <c r="A1420" s="17" t="s">
        <v>16</v>
      </c>
      <c r="C1420" s="4" t="s">
        <v>2836</v>
      </c>
      <c r="D1420" s="4" t="s">
        <v>2837</v>
      </c>
      <c r="E1420" s="4"/>
      <c r="F1420" s="18" t="s">
        <v>40</v>
      </c>
      <c r="G1420" s="18" t="s">
        <v>41</v>
      </c>
      <c r="H1420" s="4" t="str">
        <f t="shared" si="3"/>
        <v>50/SLV</v>
      </c>
      <c r="I1420" s="18">
        <v>50.0</v>
      </c>
      <c r="J1420" s="19" t="s">
        <v>2529</v>
      </c>
      <c r="K1420" s="16">
        <v>34.03</v>
      </c>
      <c r="L1420" s="16"/>
    </row>
    <row r="1421" ht="15.75" customHeight="1">
      <c r="A1421" s="17" t="s">
        <v>16</v>
      </c>
      <c r="C1421" s="4" t="s">
        <v>576</v>
      </c>
      <c r="D1421" s="4" t="s">
        <v>2838</v>
      </c>
      <c r="E1421" s="4"/>
      <c r="F1421" s="18" t="s">
        <v>40</v>
      </c>
      <c r="G1421" s="18" t="s">
        <v>41</v>
      </c>
      <c r="H1421" s="4" t="str">
        <f t="shared" si="3"/>
        <v>50/SLV</v>
      </c>
      <c r="I1421" s="18">
        <v>50.0</v>
      </c>
      <c r="J1421" s="19" t="s">
        <v>2529</v>
      </c>
      <c r="K1421" s="16">
        <v>49.11</v>
      </c>
      <c r="L1421" s="16"/>
    </row>
    <row r="1422" ht="15.75" customHeight="1">
      <c r="A1422" s="17" t="s">
        <v>16</v>
      </c>
      <c r="C1422" s="4" t="s">
        <v>2839</v>
      </c>
      <c r="D1422" s="4" t="s">
        <v>2840</v>
      </c>
      <c r="E1422" s="4"/>
      <c r="F1422" s="18" t="s">
        <v>40</v>
      </c>
      <c r="G1422" s="18" t="s">
        <v>41</v>
      </c>
      <c r="H1422" s="4" t="str">
        <f t="shared" si="3"/>
        <v>100/PACK</v>
      </c>
      <c r="I1422" s="18">
        <v>100.0</v>
      </c>
      <c r="J1422" s="19" t="s">
        <v>23</v>
      </c>
      <c r="K1422" s="16">
        <v>144.85</v>
      </c>
      <c r="L1422" s="16"/>
    </row>
    <row r="1423" ht="15.75" customHeight="1">
      <c r="A1423" s="17" t="s">
        <v>16</v>
      </c>
      <c r="C1423" s="4" t="s">
        <v>2841</v>
      </c>
      <c r="D1423" s="4" t="s">
        <v>2842</v>
      </c>
      <c r="E1423" s="4"/>
      <c r="F1423" s="18" t="s">
        <v>40</v>
      </c>
      <c r="G1423" s="18" t="s">
        <v>41</v>
      </c>
      <c r="H1423" s="4" t="str">
        <f t="shared" si="3"/>
        <v>100/PACK(100)</v>
      </c>
      <c r="I1423" s="4">
        <v>100.0</v>
      </c>
      <c r="J1423" s="4" t="s">
        <v>445</v>
      </c>
      <c r="K1423" s="16">
        <v>206.0</v>
      </c>
      <c r="L1423" s="16"/>
    </row>
    <row r="1424" ht="15.75" customHeight="1">
      <c r="A1424" s="17" t="s">
        <v>16</v>
      </c>
      <c r="C1424" s="4" t="s">
        <v>2843</v>
      </c>
      <c r="D1424" s="4" t="s">
        <v>2844</v>
      </c>
      <c r="E1424" s="4"/>
      <c r="F1424" s="18" t="s">
        <v>40</v>
      </c>
      <c r="G1424" s="18" t="s">
        <v>448</v>
      </c>
      <c r="H1424" s="4" t="str">
        <f t="shared" si="3"/>
        <v>1/PC</v>
      </c>
      <c r="I1424" s="18">
        <v>1.0</v>
      </c>
      <c r="J1424" s="19" t="s">
        <v>42</v>
      </c>
      <c r="K1424" s="16">
        <v>24.999999999999996</v>
      </c>
      <c r="L1424" s="16"/>
    </row>
    <row r="1425" ht="15.75" customHeight="1">
      <c r="A1425" s="17" t="s">
        <v>16</v>
      </c>
      <c r="C1425" s="4" t="s">
        <v>2845</v>
      </c>
      <c r="D1425" s="4" t="s">
        <v>2846</v>
      </c>
      <c r="E1425" s="4"/>
      <c r="F1425" s="18" t="s">
        <v>40</v>
      </c>
      <c r="G1425" s="18" t="s">
        <v>41</v>
      </c>
      <c r="H1425" s="4" t="str">
        <f t="shared" si="3"/>
        <v>100/Pack</v>
      </c>
      <c r="I1425" s="18">
        <v>100.0</v>
      </c>
      <c r="J1425" s="19" t="s">
        <v>441</v>
      </c>
      <c r="K1425" s="16">
        <v>124.99999999999999</v>
      </c>
      <c r="L1425" s="16"/>
    </row>
    <row r="1426" ht="15.75" customHeight="1">
      <c r="A1426" s="17" t="s">
        <v>16</v>
      </c>
      <c r="C1426" s="4" t="s">
        <v>2847</v>
      </c>
      <c r="D1426" s="4" t="s">
        <v>2848</v>
      </c>
      <c r="E1426" s="4"/>
      <c r="F1426" s="18" t="s">
        <v>40</v>
      </c>
      <c r="G1426" s="18" t="s">
        <v>448</v>
      </c>
      <c r="H1426" s="4" t="str">
        <f t="shared" si="3"/>
        <v>1/PC</v>
      </c>
      <c r="I1426" s="18">
        <v>1.0</v>
      </c>
      <c r="J1426" s="19" t="s">
        <v>42</v>
      </c>
      <c r="K1426" s="16">
        <v>44.64285714285714</v>
      </c>
      <c r="L1426" s="16"/>
    </row>
    <row r="1427" ht="15.75" customHeight="1">
      <c r="A1427" s="17" t="s">
        <v>16</v>
      </c>
      <c r="C1427" s="4" t="s">
        <v>2849</v>
      </c>
      <c r="D1427" s="4" t="s">
        <v>2850</v>
      </c>
      <c r="E1427" s="4"/>
      <c r="F1427" s="18" t="s">
        <v>40</v>
      </c>
      <c r="G1427" s="18" t="s">
        <v>448</v>
      </c>
      <c r="H1427" s="4" t="str">
        <f t="shared" si="3"/>
        <v>1/PC</v>
      </c>
      <c r="I1427" s="18">
        <v>1.0</v>
      </c>
      <c r="J1427" s="19" t="s">
        <v>42</v>
      </c>
      <c r="K1427" s="16">
        <v>392.8573333333334</v>
      </c>
      <c r="L1427" s="16"/>
    </row>
    <row r="1428" ht="15.75" customHeight="1">
      <c r="A1428" s="17" t="s">
        <v>16</v>
      </c>
      <c r="C1428" s="4" t="s">
        <v>2851</v>
      </c>
      <c r="D1428" s="4" t="s">
        <v>2852</v>
      </c>
      <c r="E1428" s="4"/>
      <c r="F1428" s="18" t="s">
        <v>40</v>
      </c>
      <c r="G1428" s="18" t="s">
        <v>448</v>
      </c>
      <c r="H1428" s="4" t="str">
        <f t="shared" si="3"/>
        <v>1/PC</v>
      </c>
      <c r="I1428" s="18">
        <v>1.0</v>
      </c>
      <c r="J1428" s="19" t="s">
        <v>42</v>
      </c>
      <c r="K1428" s="16">
        <v>30.357142857142854</v>
      </c>
      <c r="L1428" s="16"/>
    </row>
    <row r="1429" ht="15.75" customHeight="1">
      <c r="A1429" s="17" t="s">
        <v>16</v>
      </c>
      <c r="C1429" s="4" t="s">
        <v>2853</v>
      </c>
      <c r="D1429" s="4" t="s">
        <v>2854</v>
      </c>
      <c r="E1429" s="4"/>
      <c r="F1429" s="18" t="s">
        <v>40</v>
      </c>
      <c r="G1429" s="18" t="s">
        <v>448</v>
      </c>
      <c r="H1429" s="4" t="str">
        <f t="shared" si="3"/>
        <v>1/PC</v>
      </c>
      <c r="I1429" s="18">
        <v>1.0</v>
      </c>
      <c r="J1429" s="19" t="s">
        <v>42</v>
      </c>
      <c r="K1429" s="16">
        <v>41.07142857142857</v>
      </c>
      <c r="L1429" s="16"/>
    </row>
    <row r="1430" ht="15.75" customHeight="1">
      <c r="A1430" s="17" t="s">
        <v>2037</v>
      </c>
      <c r="C1430" s="4" t="s">
        <v>2855</v>
      </c>
      <c r="D1430" s="4" t="s">
        <v>2856</v>
      </c>
      <c r="E1430" s="4"/>
      <c r="F1430" s="18" t="s">
        <v>47</v>
      </c>
      <c r="G1430" s="18" t="s">
        <v>47</v>
      </c>
      <c r="H1430" s="4" t="str">
        <f t="shared" si="3"/>
        <v>1/PC</v>
      </c>
      <c r="I1430" s="18">
        <v>1.0</v>
      </c>
      <c r="J1430" s="19" t="s">
        <v>42</v>
      </c>
      <c r="K1430" s="16">
        <v>174.10714285714283</v>
      </c>
      <c r="L1430" s="16"/>
    </row>
    <row r="1431" ht="15.75" customHeight="1">
      <c r="A1431" s="17" t="s">
        <v>2037</v>
      </c>
      <c r="C1431" s="4" t="s">
        <v>2857</v>
      </c>
      <c r="D1431" s="4" t="s">
        <v>2858</v>
      </c>
      <c r="E1431" s="4"/>
      <c r="F1431" s="18" t="s">
        <v>47</v>
      </c>
      <c r="G1431" s="18" t="s">
        <v>47</v>
      </c>
      <c r="H1431" s="4" t="str">
        <f t="shared" si="3"/>
        <v>1/PC</v>
      </c>
      <c r="I1431" s="18">
        <v>1.0</v>
      </c>
      <c r="J1431" s="19" t="s">
        <v>42</v>
      </c>
      <c r="K1431" s="16">
        <v>284.82142857142856</v>
      </c>
      <c r="L1431" s="16"/>
    </row>
    <row r="1432" ht="15.75" customHeight="1">
      <c r="A1432" s="17" t="s">
        <v>2037</v>
      </c>
      <c r="C1432" s="4" t="s">
        <v>2859</v>
      </c>
      <c r="D1432" s="4" t="s">
        <v>2860</v>
      </c>
      <c r="E1432" s="4"/>
      <c r="F1432" s="18" t="s">
        <v>47</v>
      </c>
      <c r="G1432" s="18" t="s">
        <v>47</v>
      </c>
      <c r="H1432" s="4" t="str">
        <f t="shared" si="3"/>
        <v>1/PC</v>
      </c>
      <c r="I1432" s="18">
        <v>1.0</v>
      </c>
      <c r="J1432" s="19" t="s">
        <v>42</v>
      </c>
      <c r="K1432" s="16">
        <v>161.60714285714283</v>
      </c>
      <c r="L1432" s="16"/>
    </row>
    <row r="1433" ht="15.75" customHeight="1">
      <c r="A1433" s="17" t="s">
        <v>2037</v>
      </c>
      <c r="C1433" s="4" t="s">
        <v>2861</v>
      </c>
      <c r="D1433" s="4" t="s">
        <v>2862</v>
      </c>
      <c r="E1433" s="4"/>
      <c r="F1433" s="18" t="s">
        <v>47</v>
      </c>
      <c r="G1433" s="18" t="s">
        <v>47</v>
      </c>
      <c r="H1433" s="4" t="str">
        <f t="shared" si="3"/>
        <v>1/PC</v>
      </c>
      <c r="I1433" s="18">
        <v>1.0</v>
      </c>
      <c r="J1433" s="19" t="s">
        <v>42</v>
      </c>
      <c r="K1433" s="16">
        <v>29.46428571428571</v>
      </c>
      <c r="L1433" s="16"/>
    </row>
    <row r="1434" ht="15.75" customHeight="1">
      <c r="A1434" s="17" t="s">
        <v>2037</v>
      </c>
      <c r="C1434" s="4" t="s">
        <v>2863</v>
      </c>
      <c r="D1434" s="4" t="s">
        <v>2864</v>
      </c>
      <c r="E1434" s="4"/>
      <c r="F1434" s="18" t="s">
        <v>47</v>
      </c>
      <c r="G1434" s="18" t="s">
        <v>47</v>
      </c>
      <c r="H1434" s="4" t="str">
        <f t="shared" si="3"/>
        <v>1/PC</v>
      </c>
      <c r="I1434" s="18">
        <v>1.0</v>
      </c>
      <c r="J1434" s="19" t="s">
        <v>42</v>
      </c>
      <c r="K1434" s="16">
        <v>370.5357142857143</v>
      </c>
      <c r="L1434" s="16"/>
    </row>
    <row r="1435" ht="15.75" customHeight="1">
      <c r="A1435" s="17" t="s">
        <v>2037</v>
      </c>
      <c r="C1435" s="4" t="s">
        <v>2865</v>
      </c>
      <c r="D1435" s="4" t="s">
        <v>2866</v>
      </c>
      <c r="E1435" s="4"/>
      <c r="F1435" s="18" t="s">
        <v>47</v>
      </c>
      <c r="G1435" s="18" t="s">
        <v>47</v>
      </c>
      <c r="H1435" s="4" t="str">
        <f t="shared" si="3"/>
        <v>1/PC</v>
      </c>
      <c r="I1435" s="18">
        <v>1.0</v>
      </c>
      <c r="J1435" s="19" t="s">
        <v>42</v>
      </c>
      <c r="K1435" s="16">
        <v>277.6785714285714</v>
      </c>
      <c r="L1435" s="16"/>
    </row>
    <row r="1436" ht="15.75" customHeight="1">
      <c r="A1436" s="17" t="s">
        <v>2037</v>
      </c>
      <c r="C1436" s="4" t="s">
        <v>2867</v>
      </c>
      <c r="D1436" s="4" t="s">
        <v>2868</v>
      </c>
      <c r="E1436" s="4"/>
      <c r="F1436" s="18" t="s">
        <v>2415</v>
      </c>
      <c r="G1436" s="18" t="s">
        <v>2415</v>
      </c>
      <c r="H1436" s="4" t="str">
        <f t="shared" si="3"/>
        <v>1/Pc</v>
      </c>
      <c r="I1436" s="18">
        <v>1.0</v>
      </c>
      <c r="J1436" s="19" t="s">
        <v>1973</v>
      </c>
      <c r="K1436" s="16">
        <v>632.1428571428571</v>
      </c>
      <c r="L1436" s="16"/>
    </row>
    <row r="1437" ht="15.75" customHeight="1">
      <c r="A1437" s="17" t="s">
        <v>2037</v>
      </c>
      <c r="C1437" s="4" t="s">
        <v>2869</v>
      </c>
      <c r="D1437" s="4" t="s">
        <v>2870</v>
      </c>
      <c r="E1437" s="4"/>
      <c r="F1437" s="18" t="s">
        <v>47</v>
      </c>
      <c r="G1437" s="18" t="s">
        <v>47</v>
      </c>
      <c r="H1437" s="4" t="str">
        <f t="shared" si="3"/>
        <v>1/Pc</v>
      </c>
      <c r="I1437" s="18">
        <v>1.0</v>
      </c>
      <c r="J1437" s="19" t="s">
        <v>1973</v>
      </c>
      <c r="K1437" s="16">
        <v>888.3928571428571</v>
      </c>
      <c r="L1437" s="16"/>
    </row>
    <row r="1438" ht="15.75" customHeight="1">
      <c r="A1438" s="17" t="s">
        <v>2037</v>
      </c>
      <c r="C1438" s="4" t="s">
        <v>2871</v>
      </c>
      <c r="D1438" s="4" t="s">
        <v>2872</v>
      </c>
      <c r="E1438" s="4"/>
      <c r="F1438" s="18" t="s">
        <v>2415</v>
      </c>
      <c r="G1438" s="18" t="s">
        <v>2415</v>
      </c>
      <c r="H1438" s="4" t="str">
        <f t="shared" si="3"/>
        <v>1/UNIT</v>
      </c>
      <c r="I1438" s="18">
        <v>1.0</v>
      </c>
      <c r="J1438" s="19" t="s">
        <v>2416</v>
      </c>
      <c r="K1438" s="16">
        <v>4464.285714285714</v>
      </c>
      <c r="L1438" s="16"/>
    </row>
    <row r="1439" ht="15.75" customHeight="1">
      <c r="A1439" s="17" t="s">
        <v>2037</v>
      </c>
      <c r="C1439" s="4" t="s">
        <v>2873</v>
      </c>
      <c r="D1439" s="4" t="s">
        <v>2874</v>
      </c>
      <c r="E1439" s="4"/>
      <c r="F1439" s="18" t="s">
        <v>47</v>
      </c>
      <c r="G1439" s="18" t="s">
        <v>47</v>
      </c>
      <c r="H1439" s="4" t="str">
        <f t="shared" si="3"/>
        <v>1/Pc</v>
      </c>
      <c r="I1439" s="18">
        <v>1.0</v>
      </c>
      <c r="J1439" s="19" t="s">
        <v>1973</v>
      </c>
      <c r="K1439" s="16">
        <v>392.85714285714283</v>
      </c>
      <c r="L1439" s="16"/>
    </row>
    <row r="1440" ht="15.75" customHeight="1">
      <c r="A1440" s="17" t="s">
        <v>2037</v>
      </c>
      <c r="C1440" s="4" t="s">
        <v>2875</v>
      </c>
      <c r="D1440" s="4" t="s">
        <v>2876</v>
      </c>
      <c r="E1440" s="4"/>
      <c r="F1440" s="18" t="s">
        <v>47</v>
      </c>
      <c r="G1440" s="18" t="s">
        <v>47</v>
      </c>
      <c r="H1440" s="4" t="str">
        <f t="shared" si="3"/>
        <v>1/Pc</v>
      </c>
      <c r="I1440" s="18">
        <v>1.0</v>
      </c>
      <c r="J1440" s="19" t="s">
        <v>1973</v>
      </c>
      <c r="K1440" s="16">
        <v>80.35714285714285</v>
      </c>
      <c r="L1440" s="16"/>
    </row>
    <row r="1441" ht="15.75" customHeight="1">
      <c r="A1441" s="17" t="s">
        <v>2037</v>
      </c>
      <c r="C1441" s="4" t="s">
        <v>2877</v>
      </c>
      <c r="D1441" s="4" t="s">
        <v>2878</v>
      </c>
      <c r="E1441" s="4"/>
      <c r="F1441" s="18" t="s">
        <v>47</v>
      </c>
      <c r="G1441" s="18" t="s">
        <v>47</v>
      </c>
      <c r="H1441" s="4" t="str">
        <f t="shared" si="3"/>
        <v>1/Pc</v>
      </c>
      <c r="I1441" s="18">
        <v>1.0</v>
      </c>
      <c r="J1441" s="19" t="s">
        <v>1973</v>
      </c>
      <c r="K1441" s="16">
        <v>40.17857142857142</v>
      </c>
      <c r="L1441" s="16"/>
    </row>
    <row r="1442" ht="15.75" customHeight="1">
      <c r="A1442" s="17" t="s">
        <v>2037</v>
      </c>
      <c r="C1442" s="4" t="s">
        <v>2879</v>
      </c>
      <c r="D1442" s="4" t="s">
        <v>2880</v>
      </c>
      <c r="E1442" s="4"/>
      <c r="F1442" s="18" t="s">
        <v>47</v>
      </c>
      <c r="G1442" s="18" t="s">
        <v>47</v>
      </c>
      <c r="H1442" s="4" t="str">
        <f t="shared" si="3"/>
        <v>1/Pc</v>
      </c>
      <c r="I1442" s="18">
        <v>1.0</v>
      </c>
      <c r="J1442" s="19" t="s">
        <v>1973</v>
      </c>
      <c r="K1442" s="16">
        <v>75.89285714285714</v>
      </c>
      <c r="L1442" s="16"/>
    </row>
    <row r="1443" ht="15.75" customHeight="1">
      <c r="A1443" s="17" t="s">
        <v>2037</v>
      </c>
      <c r="C1443" s="4" t="s">
        <v>2881</v>
      </c>
      <c r="D1443" s="4" t="s">
        <v>2882</v>
      </c>
      <c r="E1443" s="4"/>
      <c r="F1443" s="18" t="s">
        <v>47</v>
      </c>
      <c r="G1443" s="18" t="s">
        <v>47</v>
      </c>
      <c r="H1443" s="4" t="str">
        <f t="shared" si="3"/>
        <v>1/Pc</v>
      </c>
      <c r="I1443" s="18">
        <v>1.0</v>
      </c>
      <c r="J1443" s="19" t="s">
        <v>1973</v>
      </c>
      <c r="K1443" s="16">
        <v>258.9285714285714</v>
      </c>
      <c r="L1443" s="16"/>
    </row>
    <row r="1444" ht="15.75" customHeight="1">
      <c r="A1444" s="17" t="s">
        <v>16</v>
      </c>
      <c r="C1444" s="4" t="s">
        <v>2883</v>
      </c>
      <c r="D1444" s="4" t="s">
        <v>2884</v>
      </c>
      <c r="E1444" s="4"/>
      <c r="F1444" s="18" t="s">
        <v>40</v>
      </c>
      <c r="G1444" s="18" t="s">
        <v>367</v>
      </c>
      <c r="H1444" s="4" t="str">
        <f t="shared" si="3"/>
        <v>1/PC</v>
      </c>
      <c r="I1444" s="18">
        <v>1.0</v>
      </c>
      <c r="J1444" s="19" t="s">
        <v>42</v>
      </c>
      <c r="K1444" s="16">
        <v>5918.790000000001</v>
      </c>
      <c r="L1444" s="16"/>
    </row>
    <row r="1445" ht="15.75" customHeight="1">
      <c r="A1445" s="17" t="s">
        <v>16</v>
      </c>
      <c r="C1445" s="4" t="s">
        <v>2885</v>
      </c>
      <c r="D1445" s="4" t="s">
        <v>2886</v>
      </c>
      <c r="E1445" s="4"/>
      <c r="F1445" s="18" t="s">
        <v>40</v>
      </c>
      <c r="G1445" s="18" t="s">
        <v>367</v>
      </c>
      <c r="H1445" s="4" t="str">
        <f t="shared" si="3"/>
        <v>1/PC</v>
      </c>
      <c r="I1445" s="18">
        <v>1.0</v>
      </c>
      <c r="J1445" s="19" t="s">
        <v>42</v>
      </c>
      <c r="K1445" s="16">
        <v>348.21428571428567</v>
      </c>
      <c r="L1445" s="16"/>
    </row>
    <row r="1446" ht="15.75" customHeight="1">
      <c r="A1446" s="17" t="s">
        <v>16</v>
      </c>
      <c r="C1446" s="4" t="s">
        <v>2887</v>
      </c>
      <c r="D1446" s="4" t="s">
        <v>2888</v>
      </c>
      <c r="E1446" s="4"/>
      <c r="F1446" s="18" t="s">
        <v>40</v>
      </c>
      <c r="G1446" s="18" t="s">
        <v>367</v>
      </c>
      <c r="H1446" s="4" t="str">
        <f t="shared" si="3"/>
        <v>1/PC</v>
      </c>
      <c r="I1446" s="18">
        <v>1.0</v>
      </c>
      <c r="J1446" s="19" t="s">
        <v>42</v>
      </c>
      <c r="K1446" s="16">
        <v>348.21428571428567</v>
      </c>
      <c r="L1446" s="16"/>
    </row>
    <row r="1447" ht="15.75" customHeight="1">
      <c r="A1447" s="17" t="s">
        <v>16</v>
      </c>
      <c r="C1447" s="4" t="s">
        <v>2889</v>
      </c>
      <c r="D1447" s="4" t="s">
        <v>2890</v>
      </c>
      <c r="E1447" s="4"/>
      <c r="F1447" s="18" t="s">
        <v>40</v>
      </c>
      <c r="G1447" s="18" t="s">
        <v>367</v>
      </c>
      <c r="H1447" s="4" t="str">
        <f t="shared" si="3"/>
        <v>1/PC</v>
      </c>
      <c r="I1447" s="18">
        <v>1.0</v>
      </c>
      <c r="J1447" s="19" t="s">
        <v>42</v>
      </c>
      <c r="K1447" s="16">
        <v>348.21428571428567</v>
      </c>
      <c r="L1447" s="16"/>
    </row>
    <row r="1448" ht="15.75" customHeight="1">
      <c r="A1448" s="17" t="s">
        <v>16</v>
      </c>
      <c r="C1448" s="4" t="s">
        <v>2891</v>
      </c>
      <c r="D1448" s="4" t="s">
        <v>2892</v>
      </c>
      <c r="E1448" s="4"/>
      <c r="F1448" s="18" t="s">
        <v>40</v>
      </c>
      <c r="G1448" s="18" t="s">
        <v>367</v>
      </c>
      <c r="H1448" s="4" t="str">
        <f t="shared" si="3"/>
        <v>1/PC</v>
      </c>
      <c r="I1448" s="18">
        <v>1.0</v>
      </c>
      <c r="J1448" s="19" t="s">
        <v>42</v>
      </c>
      <c r="K1448" s="16">
        <v>410.71428571428567</v>
      </c>
      <c r="L1448" s="16"/>
    </row>
    <row r="1449" ht="15.75" customHeight="1">
      <c r="A1449" s="17" t="s">
        <v>16</v>
      </c>
      <c r="C1449" s="4" t="s">
        <v>2893</v>
      </c>
      <c r="D1449" s="4" t="s">
        <v>2894</v>
      </c>
      <c r="E1449" s="4"/>
      <c r="F1449" s="18" t="s">
        <v>40</v>
      </c>
      <c r="G1449" s="18" t="s">
        <v>367</v>
      </c>
      <c r="H1449" s="4" t="str">
        <f t="shared" si="3"/>
        <v>1/PC</v>
      </c>
      <c r="I1449" s="18">
        <v>1.0</v>
      </c>
      <c r="J1449" s="19" t="s">
        <v>42</v>
      </c>
      <c r="K1449" s="16">
        <v>102.67857142857142</v>
      </c>
      <c r="L1449" s="16"/>
    </row>
    <row r="1450" ht="15.75" customHeight="1">
      <c r="A1450" s="17" t="s">
        <v>16</v>
      </c>
      <c r="C1450" s="4" t="s">
        <v>2895</v>
      </c>
      <c r="D1450" s="4" t="s">
        <v>2896</v>
      </c>
      <c r="E1450" s="4"/>
      <c r="F1450" s="18" t="s">
        <v>40</v>
      </c>
      <c r="G1450" s="18" t="s">
        <v>367</v>
      </c>
      <c r="H1450" s="4" t="str">
        <f t="shared" si="3"/>
        <v>1/PC</v>
      </c>
      <c r="I1450" s="18">
        <v>1.0</v>
      </c>
      <c r="J1450" s="19" t="s">
        <v>42</v>
      </c>
      <c r="K1450" s="16">
        <v>102.67857142857142</v>
      </c>
      <c r="L1450" s="16"/>
    </row>
    <row r="1451" ht="15.75" customHeight="1">
      <c r="A1451" s="17" t="s">
        <v>16</v>
      </c>
      <c r="C1451" s="4" t="s">
        <v>2897</v>
      </c>
      <c r="D1451" s="4" t="s">
        <v>2898</v>
      </c>
      <c r="E1451" s="4"/>
      <c r="F1451" s="18" t="s">
        <v>40</v>
      </c>
      <c r="G1451" s="18" t="s">
        <v>367</v>
      </c>
      <c r="H1451" s="4" t="str">
        <f t="shared" si="3"/>
        <v>1/PC</v>
      </c>
      <c r="I1451" s="4">
        <v>1.0</v>
      </c>
      <c r="J1451" s="3" t="s">
        <v>42</v>
      </c>
      <c r="K1451" s="16">
        <v>249.99999999999997</v>
      </c>
      <c r="L1451" s="16"/>
    </row>
    <row r="1452" ht="15.75" customHeight="1">
      <c r="A1452" s="17" t="s">
        <v>16</v>
      </c>
      <c r="C1452" s="4" t="s">
        <v>2899</v>
      </c>
      <c r="D1452" s="4" t="s">
        <v>2899</v>
      </c>
      <c r="E1452" s="4"/>
      <c r="F1452" s="18" t="s">
        <v>40</v>
      </c>
      <c r="G1452" s="18" t="s">
        <v>367</v>
      </c>
      <c r="H1452" s="4" t="str">
        <f t="shared" si="3"/>
        <v>1/PC</v>
      </c>
      <c r="I1452" s="4">
        <v>1.0</v>
      </c>
      <c r="J1452" s="3" t="s">
        <v>42</v>
      </c>
      <c r="K1452" s="16">
        <v>102.67857142857142</v>
      </c>
      <c r="L1452" s="16"/>
    </row>
    <row r="1453" ht="15.75" customHeight="1">
      <c r="A1453" s="17" t="s">
        <v>16</v>
      </c>
      <c r="C1453" s="4" t="s">
        <v>2900</v>
      </c>
      <c r="D1453" s="4" t="s">
        <v>2901</v>
      </c>
      <c r="E1453" s="4"/>
      <c r="F1453" s="18" t="s">
        <v>40</v>
      </c>
      <c r="G1453" s="18" t="s">
        <v>41</v>
      </c>
      <c r="H1453" s="4" t="str">
        <f t="shared" si="3"/>
        <v>100/Sleeve</v>
      </c>
      <c r="I1453" s="4">
        <v>100.0</v>
      </c>
      <c r="J1453" s="3" t="s">
        <v>2902</v>
      </c>
      <c r="K1453" s="16">
        <v>101.18749999999999</v>
      </c>
      <c r="L1453" s="16"/>
    </row>
    <row r="1454" ht="15.75" customHeight="1">
      <c r="A1454" s="17" t="s">
        <v>2037</v>
      </c>
      <c r="C1454" s="4" t="s">
        <v>2903</v>
      </c>
      <c r="D1454" s="4" t="s">
        <v>2904</v>
      </c>
      <c r="E1454" s="4"/>
      <c r="F1454" s="18" t="s">
        <v>47</v>
      </c>
      <c r="G1454" s="18" t="s">
        <v>47</v>
      </c>
      <c r="H1454" s="4" t="str">
        <f t="shared" si="3"/>
        <v>1/pc</v>
      </c>
      <c r="I1454" s="4">
        <v>1.0</v>
      </c>
      <c r="J1454" s="3" t="s">
        <v>321</v>
      </c>
      <c r="K1454" s="16">
        <v>35.49</v>
      </c>
      <c r="L1454" s="16"/>
    </row>
    <row r="1455" ht="15.75" customHeight="1">
      <c r="A1455" s="17" t="s">
        <v>2037</v>
      </c>
      <c r="C1455" s="4" t="s">
        <v>2905</v>
      </c>
      <c r="D1455" s="4" t="s">
        <v>2906</v>
      </c>
      <c r="E1455" s="4"/>
      <c r="F1455" s="18" t="s">
        <v>47</v>
      </c>
      <c r="G1455" s="18" t="s">
        <v>47</v>
      </c>
      <c r="H1455" s="4" t="str">
        <f t="shared" si="3"/>
        <v>1/PC</v>
      </c>
      <c r="I1455" s="4">
        <v>1.0</v>
      </c>
      <c r="J1455" s="3" t="s">
        <v>42</v>
      </c>
      <c r="K1455" s="16">
        <v>169.64</v>
      </c>
      <c r="L1455" s="16"/>
    </row>
    <row r="1456" ht="15.75" customHeight="1">
      <c r="A1456" s="17" t="s">
        <v>16</v>
      </c>
      <c r="C1456" s="4" t="s">
        <v>2907</v>
      </c>
      <c r="D1456" s="4" t="s">
        <v>2908</v>
      </c>
      <c r="E1456" s="4"/>
      <c r="F1456" s="18" t="s">
        <v>40</v>
      </c>
      <c r="G1456" s="18" t="s">
        <v>41</v>
      </c>
      <c r="H1456" s="4" t="str">
        <f t="shared" si="3"/>
        <v>100/Bundle</v>
      </c>
      <c r="I1456" s="4">
        <v>100.0</v>
      </c>
      <c r="J1456" s="3" t="s">
        <v>2909</v>
      </c>
      <c r="K1456" s="16">
        <v>2098.21</v>
      </c>
      <c r="L1456" s="16"/>
    </row>
    <row r="1457" ht="15.75" customHeight="1">
      <c r="A1457" s="17" t="s">
        <v>16</v>
      </c>
      <c r="C1457" s="4" t="s">
        <v>2910</v>
      </c>
      <c r="D1457" s="4" t="s">
        <v>2911</v>
      </c>
      <c r="E1457" s="4"/>
      <c r="F1457" s="18" t="s">
        <v>40</v>
      </c>
      <c r="G1457" s="18" t="s">
        <v>41</v>
      </c>
      <c r="H1457" s="4" t="str">
        <f t="shared" si="3"/>
        <v>100/Bundle</v>
      </c>
      <c r="I1457" s="4">
        <v>100.0</v>
      </c>
      <c r="J1457" s="3" t="s">
        <v>2909</v>
      </c>
      <c r="K1457" s="16">
        <v>883.93</v>
      </c>
      <c r="L1457" s="16"/>
    </row>
    <row r="1458" ht="15.75" customHeight="1">
      <c r="A1458" s="17" t="s">
        <v>16</v>
      </c>
      <c r="C1458" s="4" t="s">
        <v>2912</v>
      </c>
      <c r="D1458" s="4" t="s">
        <v>2913</v>
      </c>
      <c r="E1458" s="4"/>
      <c r="F1458" s="18" t="s">
        <v>40</v>
      </c>
      <c r="G1458" s="18" t="s">
        <v>41</v>
      </c>
      <c r="H1458" s="4" t="str">
        <f t="shared" si="3"/>
        <v>1/PC</v>
      </c>
      <c r="I1458" s="4">
        <v>1.0</v>
      </c>
      <c r="J1458" s="3" t="s">
        <v>42</v>
      </c>
      <c r="K1458" s="16">
        <v>3.125</v>
      </c>
      <c r="L1458" s="16"/>
    </row>
    <row r="1459" ht="15.75" customHeight="1">
      <c r="A1459" s="17" t="s">
        <v>16</v>
      </c>
      <c r="C1459" s="4" t="s">
        <v>2914</v>
      </c>
      <c r="D1459" s="4" t="s">
        <v>2915</v>
      </c>
      <c r="E1459" s="4"/>
      <c r="F1459" s="18" t="s">
        <v>40</v>
      </c>
      <c r="G1459" s="18" t="s">
        <v>41</v>
      </c>
      <c r="H1459" s="4" t="str">
        <f t="shared" si="3"/>
        <v>100/Pack</v>
      </c>
      <c r="I1459" s="4">
        <v>100.0</v>
      </c>
      <c r="J1459" s="3" t="s">
        <v>441</v>
      </c>
      <c r="K1459" s="16">
        <v>312.5</v>
      </c>
      <c r="L1459" s="16"/>
    </row>
    <row r="1460" ht="15.75" customHeight="1">
      <c r="A1460" s="17" t="s">
        <v>2037</v>
      </c>
      <c r="C1460" s="4" t="s">
        <v>2916</v>
      </c>
      <c r="D1460" s="4" t="s">
        <v>2917</v>
      </c>
      <c r="E1460" s="4"/>
      <c r="F1460" s="18" t="s">
        <v>2261</v>
      </c>
      <c r="G1460" s="18" t="s">
        <v>2261</v>
      </c>
      <c r="H1460" s="4" t="str">
        <f t="shared" si="3"/>
        <v>1/PC</v>
      </c>
      <c r="I1460" s="18">
        <v>1.0</v>
      </c>
      <c r="J1460" s="19" t="s">
        <v>42</v>
      </c>
      <c r="K1460" s="16">
        <v>99.95400000000001</v>
      </c>
      <c r="L1460" s="16"/>
    </row>
    <row r="1461" ht="15.75" customHeight="1">
      <c r="A1461" s="17" t="s">
        <v>16</v>
      </c>
      <c r="C1461" s="4" t="s">
        <v>2918</v>
      </c>
      <c r="D1461" s="4" t="s">
        <v>2919</v>
      </c>
      <c r="E1461" s="4"/>
      <c r="F1461" s="18" t="s">
        <v>40</v>
      </c>
      <c r="G1461" s="18" t="s">
        <v>41</v>
      </c>
      <c r="H1461" s="4" t="str">
        <f t="shared" si="3"/>
        <v>1/PC</v>
      </c>
      <c r="I1461" s="18">
        <v>1.0</v>
      </c>
      <c r="J1461" s="19" t="s">
        <v>42</v>
      </c>
      <c r="K1461" s="16">
        <v>1.61</v>
      </c>
      <c r="L1461" s="16"/>
    </row>
    <row r="1462" ht="15.75" customHeight="1">
      <c r="A1462" s="17" t="s">
        <v>16</v>
      </c>
      <c r="C1462" s="4" t="s">
        <v>2920</v>
      </c>
      <c r="D1462" s="4" t="s">
        <v>2921</v>
      </c>
      <c r="E1462" s="4"/>
      <c r="F1462" s="18" t="s">
        <v>40</v>
      </c>
      <c r="G1462" s="18" t="s">
        <v>41</v>
      </c>
      <c r="H1462" s="4" t="str">
        <f t="shared" si="3"/>
        <v>500/Ream</v>
      </c>
      <c r="I1462" s="18">
        <v>500.0</v>
      </c>
      <c r="J1462" s="19" t="s">
        <v>2922</v>
      </c>
      <c r="K1462" s="16">
        <v>392.86</v>
      </c>
      <c r="L1462" s="16"/>
    </row>
    <row r="1463" ht="15.75" customHeight="1">
      <c r="A1463" s="17" t="s">
        <v>16</v>
      </c>
      <c r="C1463" s="4" t="s">
        <v>2923</v>
      </c>
      <c r="D1463" s="4" t="s">
        <v>2924</v>
      </c>
      <c r="E1463" s="4"/>
      <c r="F1463" s="18" t="s">
        <v>40</v>
      </c>
      <c r="G1463" s="18" t="s">
        <v>41</v>
      </c>
      <c r="H1463" s="4" t="str">
        <f t="shared" si="3"/>
        <v>100/SLV</v>
      </c>
      <c r="I1463" s="4">
        <v>100.0</v>
      </c>
      <c r="J1463" s="3" t="s">
        <v>2529</v>
      </c>
      <c r="K1463" s="16">
        <v>156.25</v>
      </c>
      <c r="L1463" s="16"/>
    </row>
    <row r="1464" ht="15.75" customHeight="1">
      <c r="A1464" s="17" t="s">
        <v>16</v>
      </c>
      <c r="C1464" s="4" t="s">
        <v>2925</v>
      </c>
      <c r="D1464" s="4" t="s">
        <v>2926</v>
      </c>
      <c r="E1464" s="4"/>
      <c r="F1464" s="18" t="s">
        <v>40</v>
      </c>
      <c r="G1464" s="18" t="s">
        <v>41</v>
      </c>
      <c r="H1464" s="4" t="str">
        <f t="shared" si="3"/>
        <v>50/SLV</v>
      </c>
      <c r="I1464" s="4">
        <v>50.0</v>
      </c>
      <c r="J1464" s="3" t="s">
        <v>2529</v>
      </c>
      <c r="K1464" s="16">
        <v>89.28571428571428</v>
      </c>
      <c r="L1464" s="16"/>
    </row>
    <row r="1465" ht="15.75" customHeight="1">
      <c r="A1465" s="17" t="s">
        <v>16</v>
      </c>
      <c r="C1465" s="4" t="s">
        <v>2927</v>
      </c>
      <c r="D1465" s="4" t="s">
        <v>2928</v>
      </c>
      <c r="E1465" s="4"/>
      <c r="F1465" s="18" t="s">
        <v>40</v>
      </c>
      <c r="G1465" s="18" t="s">
        <v>41</v>
      </c>
      <c r="H1465" s="4" t="str">
        <f t="shared" si="3"/>
        <v>50/SLV</v>
      </c>
      <c r="I1465" s="4">
        <v>50.0</v>
      </c>
      <c r="J1465" s="3" t="s">
        <v>2529</v>
      </c>
      <c r="K1465" s="16">
        <v>120.53571428571428</v>
      </c>
      <c r="L1465" s="16"/>
    </row>
    <row r="1466" ht="15.75" customHeight="1">
      <c r="A1466" s="17" t="s">
        <v>2037</v>
      </c>
      <c r="C1466" s="4" t="s">
        <v>2929</v>
      </c>
      <c r="D1466" s="4" t="s">
        <v>2930</v>
      </c>
      <c r="E1466" s="4"/>
      <c r="F1466" s="18" t="s">
        <v>47</v>
      </c>
      <c r="G1466" s="18" t="s">
        <v>47</v>
      </c>
      <c r="H1466" s="4" t="str">
        <f t="shared" si="3"/>
        <v>1/pc</v>
      </c>
      <c r="I1466" s="4">
        <v>1.0</v>
      </c>
      <c r="J1466" s="3" t="s">
        <v>321</v>
      </c>
      <c r="K1466" s="16">
        <v>242.86</v>
      </c>
      <c r="L1466" s="16"/>
    </row>
    <row r="1467" ht="15.75" customHeight="1">
      <c r="A1467" s="17" t="s">
        <v>2037</v>
      </c>
      <c r="C1467" s="4" t="s">
        <v>2931</v>
      </c>
      <c r="D1467" s="4" t="s">
        <v>2932</v>
      </c>
      <c r="E1467" s="4"/>
      <c r="F1467" s="18" t="s">
        <v>47</v>
      </c>
      <c r="G1467" s="18" t="s">
        <v>47</v>
      </c>
      <c r="H1467" s="4" t="str">
        <f t="shared" si="3"/>
        <v>1/PC</v>
      </c>
      <c r="I1467" s="4">
        <v>1.0</v>
      </c>
      <c r="J1467" s="3" t="s">
        <v>42</v>
      </c>
      <c r="K1467" s="16">
        <v>157.14</v>
      </c>
      <c r="L1467" s="16"/>
    </row>
    <row r="1468" ht="15.75" customHeight="1">
      <c r="A1468" s="17" t="s">
        <v>16</v>
      </c>
      <c r="C1468" s="4" t="s">
        <v>2933</v>
      </c>
      <c r="D1468" s="4" t="s">
        <v>2934</v>
      </c>
      <c r="E1468" s="4"/>
      <c r="F1468" s="18" t="s">
        <v>40</v>
      </c>
      <c r="G1468" s="18" t="s">
        <v>41</v>
      </c>
      <c r="H1468" s="4" t="str">
        <f t="shared" si="3"/>
        <v>100/PACK</v>
      </c>
      <c r="I1468" s="18">
        <v>100.0</v>
      </c>
      <c r="J1468" s="19" t="s">
        <v>23</v>
      </c>
      <c r="K1468" s="16">
        <v>26.46</v>
      </c>
      <c r="L1468" s="16"/>
    </row>
    <row r="1469" ht="15.75" customHeight="1">
      <c r="A1469" s="17" t="s">
        <v>16</v>
      </c>
      <c r="C1469" s="4" t="s">
        <v>2935</v>
      </c>
      <c r="D1469" s="4" t="s">
        <v>2936</v>
      </c>
      <c r="E1469" s="4"/>
      <c r="F1469" s="18" t="s">
        <v>40</v>
      </c>
      <c r="G1469" s="18" t="s">
        <v>41</v>
      </c>
      <c r="H1469" s="4" t="str">
        <f t="shared" si="3"/>
        <v>100/PACK</v>
      </c>
      <c r="I1469" s="18">
        <v>100.0</v>
      </c>
      <c r="J1469" s="19" t="s">
        <v>23</v>
      </c>
      <c r="K1469" s="16">
        <v>1049.11</v>
      </c>
      <c r="L1469" s="16"/>
    </row>
    <row r="1470" ht="15.75" customHeight="1">
      <c r="A1470" s="17" t="s">
        <v>16</v>
      </c>
      <c r="C1470" s="4" t="s">
        <v>2937</v>
      </c>
      <c r="D1470" s="4" t="s">
        <v>2938</v>
      </c>
      <c r="E1470" s="4"/>
      <c r="F1470" s="18" t="s">
        <v>40</v>
      </c>
      <c r="G1470" s="18" t="s">
        <v>41</v>
      </c>
      <c r="H1470" s="4" t="str">
        <f t="shared" si="3"/>
        <v>100/PACK</v>
      </c>
      <c r="I1470" s="18">
        <v>100.0</v>
      </c>
      <c r="J1470" s="19" t="s">
        <v>23</v>
      </c>
      <c r="K1470" s="16">
        <v>799.11</v>
      </c>
      <c r="L1470" s="16"/>
    </row>
    <row r="1471" ht="15.75" customHeight="1">
      <c r="A1471" s="17" t="s">
        <v>16</v>
      </c>
      <c r="C1471" s="4" t="s">
        <v>2939</v>
      </c>
      <c r="D1471" s="4" t="s">
        <v>2940</v>
      </c>
      <c r="E1471" s="4"/>
      <c r="F1471" s="18" t="s">
        <v>40</v>
      </c>
      <c r="G1471" s="18" t="s">
        <v>41</v>
      </c>
      <c r="H1471" s="4" t="str">
        <f t="shared" si="3"/>
        <v>1/PC</v>
      </c>
      <c r="I1471" s="18">
        <v>1.0</v>
      </c>
      <c r="J1471" s="19" t="s">
        <v>42</v>
      </c>
      <c r="K1471" s="16">
        <v>4.687499999999999</v>
      </c>
      <c r="L1471" s="16"/>
    </row>
    <row r="1472" ht="15.75" customHeight="1">
      <c r="A1472" s="17" t="s">
        <v>2037</v>
      </c>
      <c r="C1472" s="4" t="s">
        <v>2941</v>
      </c>
      <c r="D1472" s="4" t="s">
        <v>2942</v>
      </c>
      <c r="E1472" s="4"/>
      <c r="F1472" s="18" t="s">
        <v>47</v>
      </c>
      <c r="G1472" s="18" t="s">
        <v>47</v>
      </c>
      <c r="H1472" s="4" t="str">
        <f t="shared" si="3"/>
        <v>1/pc</v>
      </c>
      <c r="I1472" s="4">
        <v>1.0</v>
      </c>
      <c r="J1472" s="3" t="s">
        <v>321</v>
      </c>
      <c r="K1472" s="16">
        <v>49.107142857142854</v>
      </c>
      <c r="L1472" s="16"/>
    </row>
    <row r="1473" ht="15.75" customHeight="1">
      <c r="A1473" s="17" t="s">
        <v>2037</v>
      </c>
      <c r="C1473" s="4" t="s">
        <v>2943</v>
      </c>
      <c r="D1473" s="4" t="s">
        <v>2944</v>
      </c>
      <c r="E1473" s="4"/>
      <c r="F1473" s="18" t="s">
        <v>47</v>
      </c>
      <c r="G1473" s="18" t="s">
        <v>47</v>
      </c>
      <c r="H1473" s="4" t="str">
        <f t="shared" si="3"/>
        <v>1/pc</v>
      </c>
      <c r="I1473" s="4">
        <v>1.0</v>
      </c>
      <c r="J1473" s="3" t="s">
        <v>321</v>
      </c>
      <c r="K1473" s="16">
        <v>160.7142857142857</v>
      </c>
      <c r="L1473" s="16"/>
    </row>
    <row r="1474" ht="15.75" customHeight="1">
      <c r="A1474" s="17" t="s">
        <v>2037</v>
      </c>
      <c r="C1474" s="4" t="s">
        <v>2945</v>
      </c>
      <c r="D1474" s="4" t="s">
        <v>2946</v>
      </c>
      <c r="E1474" s="4"/>
      <c r="F1474" s="18" t="s">
        <v>47</v>
      </c>
      <c r="G1474" s="18" t="s">
        <v>47</v>
      </c>
      <c r="H1474" s="4" t="str">
        <f t="shared" si="3"/>
        <v>1/pc</v>
      </c>
      <c r="I1474" s="18">
        <v>1.0</v>
      </c>
      <c r="J1474" s="19" t="s">
        <v>321</v>
      </c>
      <c r="K1474" s="16">
        <v>97.32142857142856</v>
      </c>
      <c r="L1474" s="16"/>
    </row>
    <row r="1475" ht="15.75" customHeight="1">
      <c r="A1475" s="17" t="s">
        <v>16</v>
      </c>
      <c r="C1475" s="4" t="s">
        <v>2947</v>
      </c>
      <c r="D1475" s="4" t="s">
        <v>2948</v>
      </c>
      <c r="E1475" s="4"/>
      <c r="F1475" s="18" t="s">
        <v>40</v>
      </c>
      <c r="G1475" s="18" t="s">
        <v>41</v>
      </c>
      <c r="H1475" s="4" t="str">
        <f t="shared" si="3"/>
        <v>1/PACK</v>
      </c>
      <c r="I1475" s="18">
        <v>1.0</v>
      </c>
      <c r="J1475" s="19" t="s">
        <v>23</v>
      </c>
      <c r="K1475" s="16">
        <v>629.46</v>
      </c>
      <c r="L1475" s="16"/>
    </row>
    <row r="1476" ht="15.75" customHeight="1">
      <c r="A1476" s="17" t="s">
        <v>16</v>
      </c>
      <c r="C1476" s="20" t="s">
        <v>681</v>
      </c>
      <c r="D1476" s="4" t="s">
        <v>2949</v>
      </c>
      <c r="E1476" s="4"/>
      <c r="F1476" s="18" t="s">
        <v>40</v>
      </c>
      <c r="G1476" s="18" t="s">
        <v>41</v>
      </c>
      <c r="H1476" s="4" t="str">
        <f t="shared" si="3"/>
        <v>1/PACK</v>
      </c>
      <c r="I1476" s="4">
        <v>1.0</v>
      </c>
      <c r="J1476" s="3" t="s">
        <v>23</v>
      </c>
      <c r="K1476" s="16">
        <v>750.0</v>
      </c>
      <c r="L1476" s="16"/>
    </row>
    <row r="1477" ht="15.75" customHeight="1">
      <c r="A1477" s="17" t="s">
        <v>2037</v>
      </c>
      <c r="C1477" s="4" t="s">
        <v>2950</v>
      </c>
      <c r="D1477" s="4" t="s">
        <v>2951</v>
      </c>
      <c r="E1477" s="4"/>
      <c r="F1477" s="18" t="s">
        <v>2415</v>
      </c>
      <c r="G1477" s="18" t="s">
        <v>2415</v>
      </c>
      <c r="H1477" s="4" t="str">
        <f t="shared" si="3"/>
        <v>1/PC</v>
      </c>
      <c r="I1477" s="4">
        <v>1.0</v>
      </c>
      <c r="J1477" s="3" t="s">
        <v>42</v>
      </c>
      <c r="K1477" s="16">
        <v>369.6428571428571</v>
      </c>
      <c r="L1477" s="16"/>
    </row>
    <row r="1478" ht="15.75" customHeight="1">
      <c r="A1478" s="17" t="s">
        <v>2037</v>
      </c>
      <c r="C1478" s="4" t="s">
        <v>2952</v>
      </c>
      <c r="D1478" s="4" t="s">
        <v>2953</v>
      </c>
      <c r="E1478" s="4"/>
      <c r="F1478" s="18" t="s">
        <v>2415</v>
      </c>
      <c r="G1478" s="18" t="s">
        <v>2415</v>
      </c>
      <c r="H1478" s="4" t="str">
        <f t="shared" si="3"/>
        <v>1/UNIT</v>
      </c>
      <c r="I1478" s="4">
        <v>1.0</v>
      </c>
      <c r="J1478" s="3" t="s">
        <v>2416</v>
      </c>
      <c r="K1478" s="16">
        <v>62834.82142857142</v>
      </c>
      <c r="L1478" s="16"/>
    </row>
    <row r="1479" ht="15.75" customHeight="1">
      <c r="A1479" s="17" t="s">
        <v>16</v>
      </c>
      <c r="C1479" s="4" t="s">
        <v>2954</v>
      </c>
      <c r="D1479" s="4" t="s">
        <v>2955</v>
      </c>
      <c r="E1479" s="4"/>
      <c r="F1479" s="18" t="s">
        <v>40</v>
      </c>
      <c r="G1479" s="18" t="s">
        <v>367</v>
      </c>
      <c r="H1479" s="4" t="str">
        <f t="shared" si="3"/>
        <v>500/TIN</v>
      </c>
      <c r="I1479" s="4">
        <v>500.0</v>
      </c>
      <c r="J1479" s="3" t="s">
        <v>2279</v>
      </c>
      <c r="K1479" s="16">
        <v>245.54</v>
      </c>
      <c r="L1479" s="16"/>
    </row>
    <row r="1480" ht="15.75" customHeight="1">
      <c r="A1480" s="17" t="s">
        <v>16</v>
      </c>
      <c r="C1480" s="4" t="s">
        <v>2956</v>
      </c>
      <c r="D1480" s="4" t="s">
        <v>2957</v>
      </c>
      <c r="E1480" s="4"/>
      <c r="F1480" s="18" t="s">
        <v>40</v>
      </c>
      <c r="G1480" s="18" t="s">
        <v>41</v>
      </c>
      <c r="H1480" s="4" t="str">
        <f t="shared" si="3"/>
        <v>50/SLV</v>
      </c>
      <c r="I1480" s="4">
        <v>50.0</v>
      </c>
      <c r="J1480" s="3" t="s">
        <v>2529</v>
      </c>
      <c r="K1480" s="16">
        <v>80.36</v>
      </c>
      <c r="L1480" s="16"/>
    </row>
    <row r="1481" ht="15.75" customHeight="1">
      <c r="A1481" s="17" t="s">
        <v>16</v>
      </c>
      <c r="C1481" s="4" t="s">
        <v>2958</v>
      </c>
      <c r="D1481" s="4" t="s">
        <v>2959</v>
      </c>
      <c r="E1481" s="4"/>
      <c r="F1481" s="18" t="s">
        <v>40</v>
      </c>
      <c r="G1481" s="18" t="s">
        <v>41</v>
      </c>
      <c r="H1481" s="4" t="str">
        <f t="shared" si="3"/>
        <v>20/SLV</v>
      </c>
      <c r="I1481" s="4">
        <v>20.0</v>
      </c>
      <c r="J1481" s="3" t="s">
        <v>2529</v>
      </c>
      <c r="K1481" s="16">
        <v>133.93</v>
      </c>
      <c r="L1481" s="16"/>
    </row>
    <row r="1482" ht="15.75" customHeight="1">
      <c r="A1482" s="17" t="s">
        <v>16</v>
      </c>
      <c r="C1482" s="4" t="s">
        <v>2960</v>
      </c>
      <c r="D1482" s="4" t="s">
        <v>2961</v>
      </c>
      <c r="E1482" s="4"/>
      <c r="F1482" s="18" t="s">
        <v>40</v>
      </c>
      <c r="G1482" s="18" t="s">
        <v>41</v>
      </c>
      <c r="H1482" s="4" t="str">
        <f t="shared" si="3"/>
        <v>20/SLV</v>
      </c>
      <c r="I1482" s="4">
        <v>20.0</v>
      </c>
      <c r="J1482" s="3" t="s">
        <v>2529</v>
      </c>
      <c r="K1482" s="16">
        <v>58.93</v>
      </c>
      <c r="L1482" s="16"/>
    </row>
    <row r="1483" ht="15.75" customHeight="1">
      <c r="A1483" s="17" t="s">
        <v>16</v>
      </c>
      <c r="C1483" s="4" t="s">
        <v>2962</v>
      </c>
      <c r="D1483" s="4" t="s">
        <v>2963</v>
      </c>
      <c r="E1483" s="4"/>
      <c r="F1483" s="18" t="s">
        <v>40</v>
      </c>
      <c r="G1483" s="18" t="s">
        <v>41</v>
      </c>
      <c r="H1483" s="4" t="str">
        <f t="shared" si="3"/>
        <v>25/SLV</v>
      </c>
      <c r="I1483" s="4">
        <v>25.0</v>
      </c>
      <c r="J1483" s="3" t="s">
        <v>2529</v>
      </c>
      <c r="K1483" s="16">
        <v>58.93</v>
      </c>
      <c r="L1483" s="16"/>
    </row>
    <row r="1484" ht="15.75" customHeight="1">
      <c r="A1484" s="17" t="s">
        <v>16</v>
      </c>
      <c r="C1484" s="4" t="s">
        <v>2964</v>
      </c>
      <c r="D1484" s="4" t="s">
        <v>2965</v>
      </c>
      <c r="E1484" s="4"/>
      <c r="F1484" s="18" t="s">
        <v>40</v>
      </c>
      <c r="G1484" s="18" t="s">
        <v>41</v>
      </c>
      <c r="H1484" s="4" t="str">
        <f t="shared" si="3"/>
        <v>50/Pack</v>
      </c>
      <c r="I1484" s="18">
        <v>50.0</v>
      </c>
      <c r="J1484" s="19" t="s">
        <v>441</v>
      </c>
      <c r="K1484" s="16">
        <v>441.96</v>
      </c>
      <c r="L1484" s="16"/>
    </row>
    <row r="1485" ht="15.75" customHeight="1">
      <c r="A1485" s="17" t="s">
        <v>16</v>
      </c>
      <c r="C1485" s="4" t="s">
        <v>2966</v>
      </c>
      <c r="D1485" s="4" t="s">
        <v>2967</v>
      </c>
      <c r="E1485" s="4"/>
      <c r="F1485" s="18" t="s">
        <v>40</v>
      </c>
      <c r="G1485" s="18" t="s">
        <v>41</v>
      </c>
      <c r="H1485" s="4" t="str">
        <f t="shared" si="3"/>
        <v>100/Pack</v>
      </c>
      <c r="I1485" s="18">
        <v>100.0</v>
      </c>
      <c r="J1485" s="19" t="s">
        <v>441</v>
      </c>
      <c r="K1485" s="16">
        <v>66.96</v>
      </c>
      <c r="L1485" s="16"/>
    </row>
    <row r="1486" ht="15.75" customHeight="1">
      <c r="A1486" s="17" t="s">
        <v>16</v>
      </c>
      <c r="C1486" s="4" t="s">
        <v>2968</v>
      </c>
      <c r="D1486" s="4" t="s">
        <v>2969</v>
      </c>
      <c r="E1486" s="4"/>
      <c r="F1486" s="18" t="s">
        <v>40</v>
      </c>
      <c r="G1486" s="18" t="s">
        <v>41</v>
      </c>
      <c r="H1486" s="4" t="str">
        <f t="shared" si="3"/>
        <v>100/Pack</v>
      </c>
      <c r="I1486" s="18">
        <v>100.0</v>
      </c>
      <c r="J1486" s="19" t="s">
        <v>441</v>
      </c>
      <c r="K1486" s="16">
        <v>1321.43</v>
      </c>
      <c r="L1486" s="16"/>
    </row>
    <row r="1487" ht="15.75" customHeight="1">
      <c r="A1487" s="17" t="s">
        <v>16</v>
      </c>
      <c r="C1487" s="4" t="s">
        <v>2970</v>
      </c>
      <c r="D1487" s="4" t="s">
        <v>2971</v>
      </c>
      <c r="E1487" s="4"/>
      <c r="F1487" s="18" t="s">
        <v>40</v>
      </c>
      <c r="G1487" s="18" t="s">
        <v>41</v>
      </c>
      <c r="H1487" s="4" t="str">
        <f t="shared" si="3"/>
        <v>100/Pack</v>
      </c>
      <c r="I1487" s="18">
        <v>100.0</v>
      </c>
      <c r="J1487" s="19" t="s">
        <v>441</v>
      </c>
      <c r="K1487" s="16">
        <v>2276.785714285714</v>
      </c>
      <c r="L1487" s="16"/>
    </row>
    <row r="1488" ht="15.75" customHeight="1">
      <c r="A1488" s="17" t="s">
        <v>16</v>
      </c>
      <c r="C1488" s="4" t="s">
        <v>755</v>
      </c>
      <c r="D1488" s="4" t="s">
        <v>2972</v>
      </c>
      <c r="E1488" s="4"/>
      <c r="F1488" s="18" t="s">
        <v>40</v>
      </c>
      <c r="G1488" s="18" t="s">
        <v>41</v>
      </c>
      <c r="H1488" s="4" t="str">
        <f t="shared" si="3"/>
        <v>100/PACK</v>
      </c>
      <c r="I1488" s="18">
        <v>100.0</v>
      </c>
      <c r="J1488" s="19" t="s">
        <v>23</v>
      </c>
      <c r="K1488" s="16">
        <v>102.67857142857142</v>
      </c>
      <c r="L1488" s="16"/>
    </row>
    <row r="1489" ht="15.75" customHeight="1">
      <c r="A1489" s="17" t="s">
        <v>2037</v>
      </c>
      <c r="C1489" s="4" t="s">
        <v>2973</v>
      </c>
      <c r="D1489" s="4" t="s">
        <v>2974</v>
      </c>
      <c r="E1489" s="4"/>
      <c r="F1489" s="18" t="s">
        <v>47</v>
      </c>
      <c r="G1489" s="18" t="s">
        <v>47</v>
      </c>
      <c r="H1489" s="4" t="str">
        <f t="shared" si="3"/>
        <v>1/PC</v>
      </c>
      <c r="I1489" s="18">
        <v>1.0</v>
      </c>
      <c r="J1489" s="19" t="s">
        <v>42</v>
      </c>
      <c r="K1489" s="16">
        <v>133.92857142857142</v>
      </c>
      <c r="L1489" s="16"/>
    </row>
    <row r="1490" ht="15.75" customHeight="1">
      <c r="A1490" s="17" t="s">
        <v>2037</v>
      </c>
      <c r="C1490" s="4" t="s">
        <v>2975</v>
      </c>
      <c r="D1490" s="4" t="s">
        <v>2976</v>
      </c>
      <c r="E1490" s="4"/>
      <c r="F1490" s="18" t="s">
        <v>47</v>
      </c>
      <c r="G1490" s="18" t="s">
        <v>47</v>
      </c>
      <c r="H1490" s="4" t="str">
        <f t="shared" si="3"/>
        <v>1/PC</v>
      </c>
      <c r="I1490" s="18">
        <v>1.0</v>
      </c>
      <c r="J1490" s="19" t="s">
        <v>42</v>
      </c>
      <c r="K1490" s="16">
        <v>383.9285714285714</v>
      </c>
      <c r="L1490" s="16"/>
    </row>
    <row r="1491" ht="15.75" customHeight="1">
      <c r="A1491" s="17" t="s">
        <v>16</v>
      </c>
      <c r="C1491" s="4" t="s">
        <v>2977</v>
      </c>
      <c r="D1491" s="4" t="s">
        <v>2978</v>
      </c>
      <c r="E1491" s="4"/>
      <c r="F1491" s="18" t="s">
        <v>40</v>
      </c>
      <c r="G1491" s="18" t="s">
        <v>448</v>
      </c>
      <c r="H1491" s="4" t="str">
        <f t="shared" si="3"/>
        <v>1/PAD</v>
      </c>
      <c r="I1491" s="4">
        <v>1.0</v>
      </c>
      <c r="J1491" s="3" t="s">
        <v>2979</v>
      </c>
      <c r="K1491" s="16">
        <v>31.249999999999996</v>
      </c>
      <c r="L1491" s="16"/>
    </row>
    <row r="1492" ht="15.75" customHeight="1">
      <c r="A1492" s="17" t="s">
        <v>2037</v>
      </c>
      <c r="C1492" s="4" t="s">
        <v>2980</v>
      </c>
      <c r="D1492" s="4" t="s">
        <v>2981</v>
      </c>
      <c r="E1492" s="4"/>
      <c r="F1492" s="18" t="s">
        <v>47</v>
      </c>
      <c r="G1492" s="18" t="s">
        <v>47</v>
      </c>
      <c r="H1492" s="4" t="str">
        <f t="shared" si="3"/>
        <v>1/PC</v>
      </c>
      <c r="I1492" s="4">
        <v>1.0</v>
      </c>
      <c r="J1492" s="3" t="s">
        <v>42</v>
      </c>
      <c r="K1492" s="16">
        <v>129.4642857142857</v>
      </c>
      <c r="L1492" s="16"/>
    </row>
    <row r="1493" ht="15.75" customHeight="1">
      <c r="A1493" s="17" t="s">
        <v>16</v>
      </c>
      <c r="C1493" s="4" t="s">
        <v>2982</v>
      </c>
      <c r="D1493" s="4" t="s">
        <v>2983</v>
      </c>
      <c r="E1493" s="4"/>
      <c r="F1493" s="18" t="s">
        <v>40</v>
      </c>
      <c r="G1493" s="18" t="s">
        <v>41</v>
      </c>
      <c r="H1493" s="4" t="str">
        <f t="shared" si="3"/>
        <v>1/PC</v>
      </c>
      <c r="I1493" s="4">
        <v>1.0</v>
      </c>
      <c r="J1493" s="3" t="s">
        <v>42</v>
      </c>
      <c r="K1493" s="16">
        <v>14.82</v>
      </c>
      <c r="L1493" s="16"/>
    </row>
    <row r="1494" ht="15.75" customHeight="1">
      <c r="A1494" s="17" t="s">
        <v>2037</v>
      </c>
      <c r="C1494" s="4" t="s">
        <v>2984</v>
      </c>
      <c r="D1494" s="4" t="s">
        <v>2985</v>
      </c>
      <c r="E1494" s="4"/>
      <c r="F1494" s="18" t="s">
        <v>47</v>
      </c>
      <c r="G1494" s="18" t="s">
        <v>47</v>
      </c>
      <c r="H1494" s="4" t="str">
        <f t="shared" si="3"/>
        <v>1/PC</v>
      </c>
      <c r="I1494" s="4">
        <v>1.0</v>
      </c>
      <c r="J1494" s="3" t="s">
        <v>42</v>
      </c>
      <c r="K1494" s="16">
        <v>62.49999999999999</v>
      </c>
      <c r="L1494" s="16"/>
    </row>
    <row r="1495" ht="15.75" customHeight="1">
      <c r="A1495" s="17" t="s">
        <v>16</v>
      </c>
      <c r="C1495" s="4" t="s">
        <v>2986</v>
      </c>
      <c r="D1495" s="4" t="s">
        <v>2987</v>
      </c>
      <c r="E1495" s="4"/>
      <c r="F1495" s="18" t="s">
        <v>40</v>
      </c>
      <c r="G1495" s="18" t="s">
        <v>41</v>
      </c>
      <c r="H1495" s="4" t="str">
        <f t="shared" si="3"/>
        <v>100/Pack</v>
      </c>
      <c r="I1495" s="4">
        <v>100.0</v>
      </c>
      <c r="J1495" s="3" t="s">
        <v>441</v>
      </c>
      <c r="K1495" s="16">
        <v>116.07</v>
      </c>
      <c r="L1495" s="16"/>
    </row>
    <row r="1496" ht="15.75" customHeight="1">
      <c r="A1496" s="17" t="s">
        <v>16</v>
      </c>
      <c r="C1496" s="4" t="s">
        <v>2988</v>
      </c>
      <c r="D1496" s="4" t="s">
        <v>2989</v>
      </c>
      <c r="E1496" s="4"/>
      <c r="F1496" s="18" t="s">
        <v>40</v>
      </c>
      <c r="G1496" s="18" t="s">
        <v>41</v>
      </c>
      <c r="H1496" s="4" t="str">
        <f t="shared" si="3"/>
        <v>1000/pack</v>
      </c>
      <c r="I1496" s="4">
        <v>1000.0</v>
      </c>
      <c r="J1496" s="3" t="s">
        <v>134</v>
      </c>
      <c r="K1496" s="16">
        <v>732.14</v>
      </c>
      <c r="L1496" s="16"/>
    </row>
    <row r="1497" ht="15.75" customHeight="1">
      <c r="A1497" s="17" t="s">
        <v>16</v>
      </c>
      <c r="C1497" s="4" t="s">
        <v>2990</v>
      </c>
      <c r="D1497" s="44" t="s">
        <v>2991</v>
      </c>
      <c r="E1497" s="44"/>
      <c r="F1497" s="18" t="s">
        <v>40</v>
      </c>
      <c r="G1497" s="18" t="s">
        <v>41</v>
      </c>
      <c r="H1497" s="4" t="str">
        <f t="shared" si="3"/>
        <v>500/PACK</v>
      </c>
      <c r="I1497" s="4">
        <v>500.0</v>
      </c>
      <c r="J1497" s="3" t="s">
        <v>23</v>
      </c>
      <c r="K1497" s="16">
        <v>312.5</v>
      </c>
      <c r="L1497" s="16"/>
    </row>
    <row r="1498" ht="15.75" customHeight="1">
      <c r="A1498" s="17" t="s">
        <v>16</v>
      </c>
      <c r="C1498" s="4" t="s">
        <v>2992</v>
      </c>
      <c r="D1498" s="4" t="s">
        <v>2993</v>
      </c>
      <c r="E1498" s="4"/>
      <c r="F1498" s="18" t="s">
        <v>40</v>
      </c>
      <c r="G1498" s="18" t="s">
        <v>41</v>
      </c>
      <c r="H1498" s="4" t="str">
        <f t="shared" si="3"/>
        <v>1/PC</v>
      </c>
      <c r="I1498" s="4">
        <v>1.0</v>
      </c>
      <c r="J1498" s="3" t="s">
        <v>42</v>
      </c>
      <c r="K1498" s="16">
        <v>4.64</v>
      </c>
      <c r="L1498" s="16"/>
    </row>
    <row r="1499" ht="15.75" customHeight="1">
      <c r="A1499" s="17" t="s">
        <v>16</v>
      </c>
      <c r="C1499" s="4" t="s">
        <v>2994</v>
      </c>
      <c r="D1499" s="4" t="s">
        <v>2995</v>
      </c>
      <c r="E1499" s="4"/>
      <c r="F1499" s="18" t="s">
        <v>40</v>
      </c>
      <c r="G1499" s="18" t="s">
        <v>41</v>
      </c>
      <c r="H1499" s="4" t="str">
        <f t="shared" si="3"/>
        <v>1/PC</v>
      </c>
      <c r="I1499" s="4">
        <v>1.0</v>
      </c>
      <c r="J1499" s="3" t="s">
        <v>42</v>
      </c>
      <c r="K1499" s="16">
        <v>4.06</v>
      </c>
      <c r="L1499" s="16"/>
    </row>
    <row r="1500" ht="15.75" customHeight="1">
      <c r="A1500" s="17" t="s">
        <v>16</v>
      </c>
      <c r="C1500" s="4" t="s">
        <v>2996</v>
      </c>
      <c r="D1500" s="4" t="s">
        <v>2997</v>
      </c>
      <c r="E1500" s="4"/>
      <c r="F1500" s="18" t="s">
        <v>40</v>
      </c>
      <c r="G1500" s="18" t="s">
        <v>41</v>
      </c>
      <c r="H1500" s="4" t="str">
        <f t="shared" si="3"/>
        <v>50/SLV</v>
      </c>
      <c r="I1500" s="18">
        <v>50.0</v>
      </c>
      <c r="J1500" s="19" t="s">
        <v>2529</v>
      </c>
      <c r="K1500" s="16">
        <v>160.71</v>
      </c>
      <c r="L1500" s="16"/>
    </row>
    <row r="1501" ht="15.75" customHeight="1">
      <c r="A1501" s="17" t="s">
        <v>16</v>
      </c>
      <c r="C1501" s="4" t="s">
        <v>2998</v>
      </c>
      <c r="D1501" s="4" t="s">
        <v>2999</v>
      </c>
      <c r="E1501" s="4"/>
      <c r="F1501" s="18" t="s">
        <v>40</v>
      </c>
      <c r="G1501" s="18" t="s">
        <v>41</v>
      </c>
      <c r="H1501" s="4" t="str">
        <f t="shared" si="3"/>
        <v>50/PACK</v>
      </c>
      <c r="I1501" s="18">
        <v>50.0</v>
      </c>
      <c r="J1501" s="19" t="s">
        <v>23</v>
      </c>
      <c r="K1501" s="16">
        <v>22.77</v>
      </c>
      <c r="L1501" s="16"/>
    </row>
    <row r="1502" ht="15.75" customHeight="1">
      <c r="A1502" s="17" t="s">
        <v>16</v>
      </c>
      <c r="C1502" s="4" t="s">
        <v>3000</v>
      </c>
      <c r="D1502" s="4" t="s">
        <v>3001</v>
      </c>
      <c r="E1502" s="4"/>
      <c r="F1502" s="18" t="s">
        <v>40</v>
      </c>
      <c r="G1502" s="18" t="s">
        <v>41</v>
      </c>
      <c r="H1502" s="4" t="str">
        <f t="shared" si="3"/>
        <v>50/SLV</v>
      </c>
      <c r="I1502" s="18">
        <v>50.0</v>
      </c>
      <c r="J1502" s="19" t="s">
        <v>2529</v>
      </c>
      <c r="K1502" s="16">
        <v>35.0</v>
      </c>
      <c r="L1502" s="16"/>
    </row>
    <row r="1503" ht="15.75" customHeight="1">
      <c r="A1503" s="17" t="s">
        <v>16</v>
      </c>
      <c r="C1503" s="4" t="s">
        <v>3002</v>
      </c>
      <c r="D1503" s="4" t="s">
        <v>3003</v>
      </c>
      <c r="E1503" s="4"/>
      <c r="F1503" s="18" t="s">
        <v>40</v>
      </c>
      <c r="G1503" s="18" t="s">
        <v>41</v>
      </c>
      <c r="H1503" s="4" t="str">
        <f t="shared" si="3"/>
        <v>25/PACK</v>
      </c>
      <c r="I1503" s="18">
        <v>25.0</v>
      </c>
      <c r="J1503" s="19" t="s">
        <v>23</v>
      </c>
      <c r="K1503" s="16">
        <v>18.973214285714285</v>
      </c>
      <c r="L1503" s="16"/>
    </row>
    <row r="1504" ht="15.75" customHeight="1">
      <c r="A1504" s="17" t="s">
        <v>16</v>
      </c>
      <c r="C1504" s="4" t="s">
        <v>3004</v>
      </c>
      <c r="D1504" s="4" t="s">
        <v>3005</v>
      </c>
      <c r="E1504" s="4"/>
      <c r="F1504" s="18" t="s">
        <v>40</v>
      </c>
      <c r="G1504" s="18" t="s">
        <v>41</v>
      </c>
      <c r="H1504" s="4" t="str">
        <f t="shared" si="3"/>
        <v>25/PACK</v>
      </c>
      <c r="I1504" s="18">
        <v>25.0</v>
      </c>
      <c r="J1504" s="19" t="s">
        <v>23</v>
      </c>
      <c r="K1504" s="16">
        <v>18.973214285714285</v>
      </c>
      <c r="L1504" s="16"/>
    </row>
    <row r="1505" ht="15.75" customHeight="1">
      <c r="A1505" s="17" t="s">
        <v>2037</v>
      </c>
      <c r="C1505" s="4" t="s">
        <v>3006</v>
      </c>
      <c r="D1505" s="4" t="s">
        <v>3007</v>
      </c>
      <c r="E1505" s="4"/>
      <c r="F1505" s="18" t="s">
        <v>47</v>
      </c>
      <c r="G1505" s="18" t="s">
        <v>47</v>
      </c>
      <c r="H1505" s="4" t="str">
        <f t="shared" si="3"/>
        <v>1/PC</v>
      </c>
      <c r="I1505" s="18">
        <v>1.0</v>
      </c>
      <c r="J1505" s="19" t="s">
        <v>42</v>
      </c>
      <c r="K1505" s="16">
        <v>154.01785714285714</v>
      </c>
      <c r="L1505" s="16"/>
    </row>
    <row r="1506" ht="15.75" customHeight="1">
      <c r="A1506" s="17" t="s">
        <v>2037</v>
      </c>
      <c r="C1506" s="4" t="s">
        <v>3008</v>
      </c>
      <c r="D1506" s="4" t="s">
        <v>3009</v>
      </c>
      <c r="E1506" s="4"/>
      <c r="F1506" s="18" t="s">
        <v>47</v>
      </c>
      <c r="G1506" s="18" t="s">
        <v>47</v>
      </c>
      <c r="H1506" s="4" t="str">
        <f t="shared" si="3"/>
        <v>1/PC</v>
      </c>
      <c r="I1506" s="18">
        <v>1.0</v>
      </c>
      <c r="J1506" s="19" t="s">
        <v>42</v>
      </c>
      <c r="K1506" s="16">
        <v>337.49999999999994</v>
      </c>
      <c r="L1506" s="16"/>
    </row>
    <row r="1507" ht="15.75" customHeight="1">
      <c r="A1507" s="17" t="s">
        <v>2037</v>
      </c>
      <c r="C1507" s="4" t="s">
        <v>3010</v>
      </c>
      <c r="D1507" s="4" t="s">
        <v>3011</v>
      </c>
      <c r="E1507" s="4"/>
      <c r="F1507" s="18" t="s">
        <v>47</v>
      </c>
      <c r="G1507" s="18" t="s">
        <v>47</v>
      </c>
      <c r="H1507" s="4" t="str">
        <f t="shared" si="3"/>
        <v>1/PC</v>
      </c>
      <c r="I1507" s="18">
        <v>1.0</v>
      </c>
      <c r="J1507" s="19" t="s">
        <v>42</v>
      </c>
      <c r="K1507" s="16">
        <v>559.8214285714286</v>
      </c>
      <c r="L1507" s="16"/>
    </row>
    <row r="1508" ht="15.75" customHeight="1">
      <c r="A1508" s="17" t="s">
        <v>2037</v>
      </c>
      <c r="C1508" s="4" t="s">
        <v>3012</v>
      </c>
      <c r="D1508" s="4" t="s">
        <v>3013</v>
      </c>
      <c r="E1508" s="4"/>
      <c r="F1508" s="18" t="s">
        <v>47</v>
      </c>
      <c r="G1508" s="18" t="s">
        <v>47</v>
      </c>
      <c r="H1508" s="4" t="str">
        <f t="shared" si="3"/>
        <v>1/PC</v>
      </c>
      <c r="I1508" s="18">
        <v>1.0</v>
      </c>
      <c r="J1508" s="19" t="s">
        <v>42</v>
      </c>
      <c r="K1508" s="16">
        <v>245.53571428571425</v>
      </c>
      <c r="L1508" s="16"/>
    </row>
    <row r="1509" ht="15.75" customHeight="1">
      <c r="A1509" s="17" t="s">
        <v>2037</v>
      </c>
      <c r="C1509" s="4" t="s">
        <v>3014</v>
      </c>
      <c r="D1509" s="4" t="s">
        <v>3015</v>
      </c>
      <c r="E1509" s="4"/>
      <c r="F1509" s="18" t="s">
        <v>47</v>
      </c>
      <c r="G1509" s="18" t="s">
        <v>47</v>
      </c>
      <c r="H1509" s="4" t="str">
        <f t="shared" si="3"/>
        <v>1/PC</v>
      </c>
      <c r="I1509" s="18">
        <v>1.0</v>
      </c>
      <c r="J1509" s="19" t="s">
        <v>42</v>
      </c>
      <c r="K1509" s="16">
        <v>245.53571428571425</v>
      </c>
      <c r="L1509" s="16"/>
    </row>
    <row r="1510" ht="15.75" customHeight="1">
      <c r="A1510" s="17" t="s">
        <v>2037</v>
      </c>
      <c r="C1510" s="4" t="s">
        <v>3016</v>
      </c>
      <c r="D1510" s="44" t="s">
        <v>3017</v>
      </c>
      <c r="E1510" s="44"/>
      <c r="F1510" s="18" t="s">
        <v>47</v>
      </c>
      <c r="G1510" s="18" t="s">
        <v>47</v>
      </c>
      <c r="H1510" s="4" t="str">
        <f t="shared" si="3"/>
        <v>1/PC</v>
      </c>
      <c r="I1510" s="18">
        <v>1.0</v>
      </c>
      <c r="J1510" s="19" t="s">
        <v>42</v>
      </c>
      <c r="K1510" s="16">
        <v>360.71428571428567</v>
      </c>
      <c r="L1510" s="16"/>
    </row>
    <row r="1511" ht="15.75" customHeight="1">
      <c r="A1511" s="17" t="s">
        <v>2037</v>
      </c>
      <c r="C1511" s="4" t="s">
        <v>3018</v>
      </c>
      <c r="D1511" s="4" t="s">
        <v>3019</v>
      </c>
      <c r="E1511" s="4"/>
      <c r="F1511" s="18" t="s">
        <v>47</v>
      </c>
      <c r="G1511" s="18" t="s">
        <v>47</v>
      </c>
      <c r="H1511" s="4" t="str">
        <f t="shared" si="3"/>
        <v>1/PC</v>
      </c>
      <c r="I1511" s="18">
        <v>1.0</v>
      </c>
      <c r="J1511" s="19" t="s">
        <v>42</v>
      </c>
      <c r="K1511" s="16">
        <v>291.96428571428567</v>
      </c>
      <c r="L1511" s="16"/>
    </row>
    <row r="1512" ht="15.75" customHeight="1">
      <c r="A1512" s="17" t="s">
        <v>2037</v>
      </c>
      <c r="C1512" s="4" t="s">
        <v>3020</v>
      </c>
      <c r="D1512" s="4" t="s">
        <v>3020</v>
      </c>
      <c r="E1512" s="4"/>
      <c r="F1512" s="18" t="s">
        <v>47</v>
      </c>
      <c r="G1512" s="18" t="s">
        <v>47</v>
      </c>
      <c r="H1512" s="4" t="str">
        <f t="shared" si="3"/>
        <v>1/PC</v>
      </c>
      <c r="I1512" s="18">
        <v>1.0</v>
      </c>
      <c r="J1512" s="19" t="s">
        <v>42</v>
      </c>
      <c r="K1512" s="16">
        <v>291.96428571428567</v>
      </c>
      <c r="L1512" s="16"/>
    </row>
    <row r="1513" ht="15.75" customHeight="1">
      <c r="A1513" s="17" t="s">
        <v>2037</v>
      </c>
      <c r="C1513" s="4" t="s">
        <v>3021</v>
      </c>
      <c r="D1513" s="4" t="s">
        <v>3021</v>
      </c>
      <c r="E1513" s="4"/>
      <c r="F1513" s="18" t="s">
        <v>47</v>
      </c>
      <c r="G1513" s="18" t="s">
        <v>47</v>
      </c>
      <c r="H1513" s="4" t="str">
        <f t="shared" si="3"/>
        <v>1/PC</v>
      </c>
      <c r="I1513" s="18">
        <v>1.0</v>
      </c>
      <c r="J1513" s="19" t="s">
        <v>42</v>
      </c>
      <c r="K1513" s="16">
        <v>291.96428571428567</v>
      </c>
      <c r="L1513" s="16"/>
    </row>
    <row r="1514" ht="15.75" customHeight="1">
      <c r="A1514" s="17" t="s">
        <v>2037</v>
      </c>
      <c r="C1514" s="3" t="s">
        <v>3022</v>
      </c>
      <c r="D1514" s="4" t="s">
        <v>3023</v>
      </c>
      <c r="E1514" s="4"/>
      <c r="F1514" s="18" t="s">
        <v>47</v>
      </c>
      <c r="G1514" s="18" t="s">
        <v>47</v>
      </c>
      <c r="H1514" s="4" t="str">
        <f t="shared" si="3"/>
        <v>1/PC</v>
      </c>
      <c r="I1514" s="18">
        <v>1.0</v>
      </c>
      <c r="J1514" s="19" t="s">
        <v>42</v>
      </c>
      <c r="K1514" s="16">
        <v>160.7142857142857</v>
      </c>
      <c r="L1514" s="16"/>
    </row>
    <row r="1515" ht="15.75" customHeight="1">
      <c r="A1515" s="17" t="s">
        <v>2037</v>
      </c>
      <c r="C1515" s="4" t="s">
        <v>3024</v>
      </c>
      <c r="D1515" s="4" t="s">
        <v>3025</v>
      </c>
      <c r="E1515" s="4"/>
      <c r="F1515" s="18" t="s">
        <v>47</v>
      </c>
      <c r="G1515" s="18" t="s">
        <v>47</v>
      </c>
      <c r="H1515" s="4" t="str">
        <f t="shared" si="3"/>
        <v>1/PC</v>
      </c>
      <c r="I1515" s="18">
        <v>1.0</v>
      </c>
      <c r="J1515" s="19" t="s">
        <v>42</v>
      </c>
      <c r="K1515" s="16">
        <v>312.49999999999994</v>
      </c>
      <c r="L1515" s="16"/>
    </row>
    <row r="1516" ht="15.75" customHeight="1">
      <c r="A1516" s="17" t="s">
        <v>2037</v>
      </c>
      <c r="C1516" s="4" t="s">
        <v>3026</v>
      </c>
      <c r="D1516" s="4" t="s">
        <v>3027</v>
      </c>
      <c r="E1516" s="4"/>
      <c r="F1516" s="18" t="s">
        <v>47</v>
      </c>
      <c r="G1516" s="18" t="s">
        <v>47</v>
      </c>
      <c r="H1516" s="4" t="str">
        <f t="shared" si="3"/>
        <v>1/PC</v>
      </c>
      <c r="I1516" s="18">
        <v>1.0</v>
      </c>
      <c r="J1516" s="19" t="s">
        <v>42</v>
      </c>
      <c r="K1516" s="16">
        <v>80.35714285714285</v>
      </c>
      <c r="L1516" s="16"/>
    </row>
    <row r="1517" ht="15.75" customHeight="1">
      <c r="A1517" s="17" t="s">
        <v>2037</v>
      </c>
      <c r="C1517" s="4" t="s">
        <v>3028</v>
      </c>
      <c r="D1517" s="4" t="s">
        <v>3029</v>
      </c>
      <c r="E1517" s="4"/>
      <c r="F1517" s="18" t="s">
        <v>47</v>
      </c>
      <c r="G1517" s="18" t="s">
        <v>47</v>
      </c>
      <c r="H1517" s="4" t="str">
        <f t="shared" si="3"/>
        <v>1/PC</v>
      </c>
      <c r="I1517" s="18">
        <v>1.0</v>
      </c>
      <c r="J1517" s="19" t="s">
        <v>42</v>
      </c>
      <c r="K1517" s="16">
        <v>1249.9999999999998</v>
      </c>
      <c r="L1517" s="16"/>
    </row>
    <row r="1518" ht="15.75" customHeight="1">
      <c r="A1518" s="17" t="s">
        <v>2037</v>
      </c>
      <c r="C1518" s="4" t="s">
        <v>3030</v>
      </c>
      <c r="D1518" s="4" t="s">
        <v>3031</v>
      </c>
      <c r="E1518" s="4"/>
      <c r="F1518" s="18" t="s">
        <v>47</v>
      </c>
      <c r="G1518" s="18" t="s">
        <v>47</v>
      </c>
      <c r="H1518" s="4" t="str">
        <f t="shared" si="3"/>
        <v>1/PC</v>
      </c>
      <c r="I1518" s="18">
        <v>1.0</v>
      </c>
      <c r="J1518" s="19" t="s">
        <v>42</v>
      </c>
      <c r="K1518" s="16">
        <v>1249.9999999999998</v>
      </c>
      <c r="L1518" s="16"/>
    </row>
    <row r="1519" ht="15.75" customHeight="1">
      <c r="A1519" s="17" t="s">
        <v>16</v>
      </c>
      <c r="C1519" s="4" t="s">
        <v>3032</v>
      </c>
      <c r="D1519" s="4" t="s">
        <v>3033</v>
      </c>
      <c r="E1519" s="4"/>
      <c r="F1519" s="18" t="s">
        <v>40</v>
      </c>
      <c r="G1519" s="18" t="s">
        <v>448</v>
      </c>
      <c r="H1519" s="4" t="str">
        <f t="shared" si="3"/>
        <v>50/box</v>
      </c>
      <c r="I1519" s="18">
        <v>50.0</v>
      </c>
      <c r="J1519" s="19" t="s">
        <v>1907</v>
      </c>
      <c r="K1519" s="16">
        <v>1383.9285714285713</v>
      </c>
      <c r="L1519" s="16"/>
    </row>
    <row r="1520" ht="15.75" customHeight="1">
      <c r="A1520" s="17" t="s">
        <v>16</v>
      </c>
      <c r="C1520" s="4" t="s">
        <v>3034</v>
      </c>
      <c r="D1520" s="4" t="s">
        <v>3035</v>
      </c>
      <c r="E1520" s="4"/>
      <c r="F1520" s="18" t="s">
        <v>40</v>
      </c>
      <c r="G1520" s="18" t="s">
        <v>448</v>
      </c>
      <c r="H1520" s="4" t="str">
        <f t="shared" si="3"/>
        <v>50/CASE</v>
      </c>
      <c r="I1520" s="18">
        <v>50.0</v>
      </c>
      <c r="J1520" s="19" t="s">
        <v>2156</v>
      </c>
      <c r="K1520" s="16">
        <v>1651.7857142857142</v>
      </c>
      <c r="L1520" s="16"/>
    </row>
    <row r="1521" ht="15.75" customHeight="1">
      <c r="A1521" s="17" t="s">
        <v>16</v>
      </c>
      <c r="C1521" s="4" t="s">
        <v>3036</v>
      </c>
      <c r="D1521" s="4" t="s">
        <v>3037</v>
      </c>
      <c r="E1521" s="4"/>
      <c r="F1521" s="18" t="s">
        <v>40</v>
      </c>
      <c r="G1521" s="18" t="s">
        <v>367</v>
      </c>
      <c r="H1521" s="4" t="str">
        <f t="shared" si="3"/>
        <v>1/PC</v>
      </c>
      <c r="I1521" s="4">
        <v>1.0</v>
      </c>
      <c r="J1521" s="3" t="s">
        <v>42</v>
      </c>
      <c r="K1521" s="16">
        <v>98.21428571428571</v>
      </c>
      <c r="L1521" s="16"/>
    </row>
    <row r="1522" ht="15.75" customHeight="1">
      <c r="A1522" s="17" t="s">
        <v>2037</v>
      </c>
      <c r="C1522" s="4" t="s">
        <v>3038</v>
      </c>
      <c r="D1522" s="4" t="s">
        <v>3039</v>
      </c>
      <c r="E1522" s="4"/>
      <c r="F1522" s="18" t="s">
        <v>47</v>
      </c>
      <c r="G1522" s="18" t="s">
        <v>47</v>
      </c>
      <c r="H1522" s="4" t="str">
        <f t="shared" si="3"/>
        <v>1/PC</v>
      </c>
      <c r="I1522" s="18">
        <v>1.0</v>
      </c>
      <c r="J1522" s="19" t="s">
        <v>42</v>
      </c>
      <c r="K1522" s="16">
        <v>82.23214285714285</v>
      </c>
      <c r="L1522" s="16"/>
    </row>
    <row r="1523" ht="15.75" customHeight="1">
      <c r="A1523" s="17" t="s">
        <v>2037</v>
      </c>
      <c r="C1523" s="4" t="s">
        <v>3040</v>
      </c>
      <c r="D1523" s="4" t="s">
        <v>3041</v>
      </c>
      <c r="E1523" s="4"/>
      <c r="F1523" s="18" t="s">
        <v>47</v>
      </c>
      <c r="G1523" s="18" t="s">
        <v>47</v>
      </c>
      <c r="H1523" s="4" t="str">
        <f t="shared" si="3"/>
        <v>1/PC</v>
      </c>
      <c r="I1523" s="4">
        <v>1.0</v>
      </c>
      <c r="J1523" s="3" t="s">
        <v>42</v>
      </c>
      <c r="K1523" s="16">
        <v>26.57142857142857</v>
      </c>
      <c r="L1523" s="16"/>
    </row>
    <row r="1524" ht="15.75" customHeight="1">
      <c r="A1524" s="17" t="s">
        <v>2037</v>
      </c>
      <c r="C1524" s="4" t="s">
        <v>3042</v>
      </c>
      <c r="D1524" s="4" t="s">
        <v>3043</v>
      </c>
      <c r="E1524" s="4"/>
      <c r="F1524" s="18" t="s">
        <v>47</v>
      </c>
      <c r="G1524" s="18" t="s">
        <v>47</v>
      </c>
      <c r="H1524" s="4" t="str">
        <f t="shared" si="3"/>
        <v>1/PC</v>
      </c>
      <c r="I1524" s="4">
        <v>1.0</v>
      </c>
      <c r="J1524" s="3" t="s">
        <v>42</v>
      </c>
      <c r="K1524" s="16">
        <v>32.14</v>
      </c>
      <c r="L1524" s="16"/>
    </row>
    <row r="1525" ht="15.75" customHeight="1">
      <c r="A1525" s="17" t="s">
        <v>2037</v>
      </c>
      <c r="C1525" s="4" t="s">
        <v>3044</v>
      </c>
      <c r="D1525" s="4" t="s">
        <v>3045</v>
      </c>
      <c r="E1525" s="4"/>
      <c r="F1525" s="18" t="s">
        <v>47</v>
      </c>
      <c r="G1525" s="18" t="s">
        <v>47</v>
      </c>
      <c r="H1525" s="4" t="str">
        <f t="shared" si="3"/>
        <v>1/PC</v>
      </c>
      <c r="I1525" s="18">
        <v>1.0</v>
      </c>
      <c r="J1525" s="19" t="s">
        <v>42</v>
      </c>
      <c r="K1525" s="16">
        <v>49.84821428571428</v>
      </c>
      <c r="L1525" s="16"/>
    </row>
    <row r="1526" ht="15.75" customHeight="1">
      <c r="A1526" s="17" t="s">
        <v>16</v>
      </c>
      <c r="C1526" s="4" t="s">
        <v>3046</v>
      </c>
      <c r="D1526" s="4" t="s">
        <v>3047</v>
      </c>
      <c r="E1526" s="4"/>
      <c r="F1526" s="18" t="s">
        <v>40</v>
      </c>
      <c r="G1526" s="18" t="s">
        <v>41</v>
      </c>
      <c r="H1526" s="4" t="str">
        <f t="shared" si="3"/>
        <v>50/Pack</v>
      </c>
      <c r="I1526" s="4">
        <v>50.0</v>
      </c>
      <c r="J1526" s="3" t="s">
        <v>441</v>
      </c>
      <c r="K1526" s="16">
        <v>349.11</v>
      </c>
      <c r="L1526" s="16"/>
    </row>
    <row r="1527" ht="15.75" customHeight="1">
      <c r="A1527" s="17" t="s">
        <v>16</v>
      </c>
      <c r="C1527" s="4" t="s">
        <v>3048</v>
      </c>
      <c r="D1527" s="4" t="s">
        <v>3049</v>
      </c>
      <c r="E1527" s="4"/>
      <c r="F1527" s="18" t="s">
        <v>40</v>
      </c>
      <c r="G1527" s="18" t="s">
        <v>41</v>
      </c>
      <c r="H1527" s="4" t="str">
        <f t="shared" si="3"/>
        <v>1/ROLL</v>
      </c>
      <c r="I1527" s="18">
        <v>1.0</v>
      </c>
      <c r="J1527" s="19" t="s">
        <v>44</v>
      </c>
      <c r="K1527" s="16">
        <v>145.54</v>
      </c>
      <c r="L1527" s="16"/>
    </row>
    <row r="1528" ht="15.75" customHeight="1">
      <c r="A1528" s="17" t="s">
        <v>16</v>
      </c>
      <c r="C1528" s="4" t="s">
        <v>3050</v>
      </c>
      <c r="D1528" s="4" t="s">
        <v>3051</v>
      </c>
      <c r="E1528" s="4"/>
      <c r="F1528" s="18" t="s">
        <v>40</v>
      </c>
      <c r="G1528" s="18" t="s">
        <v>367</v>
      </c>
      <c r="H1528" s="4" t="str">
        <f t="shared" si="3"/>
        <v>1000/pail</v>
      </c>
      <c r="I1528" s="18">
        <v>1000.0</v>
      </c>
      <c r="J1528" s="19" t="s">
        <v>3052</v>
      </c>
      <c r="K1528" s="16">
        <v>2851.517857142857</v>
      </c>
      <c r="L1528" s="16"/>
    </row>
    <row r="1529" ht="15.75" customHeight="1">
      <c r="A1529" s="17" t="s">
        <v>16</v>
      </c>
      <c r="C1529" s="4" t="s">
        <v>3053</v>
      </c>
      <c r="D1529" s="4" t="s">
        <v>3054</v>
      </c>
      <c r="E1529" s="4"/>
      <c r="F1529" s="18" t="s">
        <v>40</v>
      </c>
      <c r="G1529" s="18" t="s">
        <v>41</v>
      </c>
      <c r="H1529" s="4" t="str">
        <f t="shared" si="3"/>
        <v>50/PC</v>
      </c>
      <c r="I1529" s="18">
        <v>50.0</v>
      </c>
      <c r="J1529" s="19" t="s">
        <v>42</v>
      </c>
      <c r="K1529" s="16">
        <v>29.91</v>
      </c>
      <c r="L1529" s="16"/>
    </row>
    <row r="1530" ht="15.75" customHeight="1">
      <c r="A1530" s="17" t="s">
        <v>2037</v>
      </c>
      <c r="C1530" s="4" t="s">
        <v>3055</v>
      </c>
      <c r="D1530" s="4" t="s">
        <v>3056</v>
      </c>
      <c r="E1530" s="4"/>
      <c r="F1530" s="18" t="s">
        <v>47</v>
      </c>
      <c r="G1530" s="18" t="s">
        <v>47</v>
      </c>
      <c r="H1530" s="4" t="str">
        <f t="shared" si="3"/>
        <v>1/PC</v>
      </c>
      <c r="I1530" s="18">
        <v>1.0</v>
      </c>
      <c r="J1530" s="19" t="s">
        <v>42</v>
      </c>
      <c r="K1530" s="16">
        <v>41.07142857142857</v>
      </c>
      <c r="L1530" s="16"/>
    </row>
    <row r="1531" ht="15.75" customHeight="1">
      <c r="A1531" s="17" t="s">
        <v>16</v>
      </c>
      <c r="C1531" s="4" t="s">
        <v>3057</v>
      </c>
      <c r="D1531" s="4" t="s">
        <v>3058</v>
      </c>
      <c r="E1531" s="4"/>
      <c r="F1531" s="18" t="s">
        <v>40</v>
      </c>
      <c r="G1531" s="18" t="s">
        <v>41</v>
      </c>
      <c r="H1531" s="4" t="str">
        <f t="shared" si="3"/>
        <v>100/PACK</v>
      </c>
      <c r="I1531" s="18">
        <v>100.0</v>
      </c>
      <c r="J1531" s="19" t="s">
        <v>23</v>
      </c>
      <c r="K1531" s="16">
        <v>38.39285714285714</v>
      </c>
      <c r="L1531" s="16"/>
    </row>
    <row r="1532" ht="15.75" customHeight="1">
      <c r="A1532" s="17" t="s">
        <v>2037</v>
      </c>
      <c r="C1532" s="4" t="s">
        <v>3059</v>
      </c>
      <c r="D1532" s="4" t="s">
        <v>3060</v>
      </c>
      <c r="E1532" s="4"/>
      <c r="F1532" s="18" t="s">
        <v>47</v>
      </c>
      <c r="G1532" s="18" t="s">
        <v>47</v>
      </c>
      <c r="H1532" s="4" t="str">
        <f t="shared" si="3"/>
        <v>1/PC</v>
      </c>
      <c r="I1532" s="4">
        <v>1.0</v>
      </c>
      <c r="J1532" s="3" t="s">
        <v>42</v>
      </c>
      <c r="K1532" s="16">
        <v>118.79999999999997</v>
      </c>
      <c r="L1532" s="16"/>
    </row>
    <row r="1533" ht="15.75" customHeight="1">
      <c r="A1533" s="17" t="s">
        <v>2037</v>
      </c>
      <c r="C1533" s="4" t="s">
        <v>3061</v>
      </c>
      <c r="D1533" s="4" t="s">
        <v>3062</v>
      </c>
      <c r="E1533" s="4"/>
      <c r="F1533" s="18" t="s">
        <v>47</v>
      </c>
      <c r="G1533" s="18" t="s">
        <v>47</v>
      </c>
      <c r="H1533" s="4" t="str">
        <f t="shared" si="3"/>
        <v>1/PC</v>
      </c>
      <c r="I1533" s="18">
        <v>1.0</v>
      </c>
      <c r="J1533" s="19" t="s">
        <v>42</v>
      </c>
      <c r="K1533" s="16">
        <v>257.1428571428571</v>
      </c>
      <c r="L1533" s="16"/>
    </row>
    <row r="1534" ht="15.75" customHeight="1">
      <c r="A1534" s="17" t="s">
        <v>2037</v>
      </c>
      <c r="C1534" s="4" t="s">
        <v>3063</v>
      </c>
      <c r="D1534" s="4" t="s">
        <v>3064</v>
      </c>
      <c r="E1534" s="4"/>
      <c r="F1534" s="18" t="s">
        <v>47</v>
      </c>
      <c r="G1534" s="18" t="s">
        <v>47</v>
      </c>
      <c r="H1534" s="4" t="str">
        <f t="shared" si="3"/>
        <v>1/PC</v>
      </c>
      <c r="I1534" s="18">
        <v>1.0</v>
      </c>
      <c r="J1534" s="19" t="s">
        <v>42</v>
      </c>
      <c r="K1534" s="16">
        <v>1839.2857142857142</v>
      </c>
      <c r="L1534" s="16"/>
    </row>
    <row r="1535" ht="15.75" customHeight="1">
      <c r="A1535" s="17" t="s">
        <v>2037</v>
      </c>
      <c r="C1535" s="4" t="s">
        <v>3065</v>
      </c>
      <c r="D1535" s="4" t="s">
        <v>3066</v>
      </c>
      <c r="E1535" s="4"/>
      <c r="F1535" s="18" t="s">
        <v>47</v>
      </c>
      <c r="G1535" s="18" t="s">
        <v>47</v>
      </c>
      <c r="H1535" s="4" t="str">
        <f t="shared" si="3"/>
        <v>1/PC</v>
      </c>
      <c r="I1535" s="4">
        <v>1.0</v>
      </c>
      <c r="J1535" s="3" t="s">
        <v>42</v>
      </c>
      <c r="K1535" s="16">
        <v>2497.32</v>
      </c>
      <c r="L1535" s="16"/>
    </row>
    <row r="1536" ht="15.75" customHeight="1">
      <c r="A1536" s="17" t="s">
        <v>2037</v>
      </c>
      <c r="C1536" s="4" t="s">
        <v>3067</v>
      </c>
      <c r="D1536" s="4" t="s">
        <v>3068</v>
      </c>
      <c r="E1536" s="4"/>
      <c r="F1536" s="18" t="s">
        <v>47</v>
      </c>
      <c r="G1536" s="18" t="s">
        <v>47</v>
      </c>
      <c r="H1536" s="4" t="str">
        <f t="shared" si="3"/>
        <v>1/PC</v>
      </c>
      <c r="I1536" s="4">
        <v>1.0</v>
      </c>
      <c r="J1536" s="3" t="s">
        <v>42</v>
      </c>
      <c r="K1536" s="16">
        <v>6026.785714285714</v>
      </c>
      <c r="L1536" s="16"/>
    </row>
    <row r="1537" ht="15.75" customHeight="1">
      <c r="A1537" s="17" t="s">
        <v>16</v>
      </c>
      <c r="C1537" s="4" t="s">
        <v>3069</v>
      </c>
      <c r="D1537" s="4" t="s">
        <v>3070</v>
      </c>
      <c r="E1537" s="4"/>
      <c r="F1537" s="18" t="s">
        <v>40</v>
      </c>
      <c r="G1537" s="18" t="s">
        <v>41</v>
      </c>
      <c r="H1537" s="4" t="str">
        <f t="shared" si="3"/>
        <v>1/BAG</v>
      </c>
      <c r="I1537" s="18">
        <v>1.0</v>
      </c>
      <c r="J1537" s="19" t="s">
        <v>2115</v>
      </c>
      <c r="K1537" s="16">
        <v>345.0</v>
      </c>
      <c r="L1537" s="16"/>
    </row>
    <row r="1538" ht="15.75" customHeight="1">
      <c r="A1538" s="17" t="s">
        <v>16</v>
      </c>
      <c r="C1538" s="4" t="s">
        <v>3071</v>
      </c>
      <c r="D1538" s="4" t="s">
        <v>3072</v>
      </c>
      <c r="E1538" s="4"/>
      <c r="F1538" s="18" t="s">
        <v>40</v>
      </c>
      <c r="G1538" s="18" t="s">
        <v>41</v>
      </c>
      <c r="H1538" s="4" t="str">
        <f t="shared" si="3"/>
        <v>1/PC</v>
      </c>
      <c r="I1538" s="18">
        <v>1.0</v>
      </c>
      <c r="J1538" s="19" t="s">
        <v>42</v>
      </c>
      <c r="K1538" s="16">
        <v>504.2</v>
      </c>
      <c r="L1538" s="16"/>
    </row>
    <row r="1539" ht="15.75" customHeight="1">
      <c r="A1539" s="17" t="s">
        <v>16</v>
      </c>
      <c r="C1539" s="4" t="s">
        <v>3073</v>
      </c>
      <c r="D1539" s="4" t="s">
        <v>3074</v>
      </c>
      <c r="E1539" s="4"/>
      <c r="F1539" s="18" t="s">
        <v>40</v>
      </c>
      <c r="G1539" s="18" t="s">
        <v>41</v>
      </c>
      <c r="H1539" s="4" t="str">
        <f t="shared" si="3"/>
        <v>1/PC</v>
      </c>
      <c r="I1539" s="18">
        <v>1.0</v>
      </c>
      <c r="J1539" s="19" t="s">
        <v>42</v>
      </c>
      <c r="K1539" s="16">
        <v>503.91</v>
      </c>
      <c r="L1539" s="16"/>
    </row>
    <row r="1540" ht="15.75" customHeight="1">
      <c r="A1540" s="17" t="s">
        <v>2037</v>
      </c>
      <c r="C1540" s="4" t="s">
        <v>3075</v>
      </c>
      <c r="D1540" s="4" t="s">
        <v>3076</v>
      </c>
      <c r="E1540" s="4"/>
      <c r="F1540" s="18" t="s">
        <v>47</v>
      </c>
      <c r="G1540" s="18" t="s">
        <v>47</v>
      </c>
      <c r="H1540" s="4" t="str">
        <f t="shared" si="3"/>
        <v>1/PC</v>
      </c>
      <c r="I1540" s="18">
        <v>1.0</v>
      </c>
      <c r="J1540" s="19" t="s">
        <v>42</v>
      </c>
      <c r="K1540" s="16">
        <v>299.10714285714283</v>
      </c>
      <c r="L1540" s="16"/>
    </row>
    <row r="1541" ht="15.75" customHeight="1">
      <c r="A1541" s="17" t="s">
        <v>2037</v>
      </c>
      <c r="C1541" s="4" t="s">
        <v>3077</v>
      </c>
      <c r="D1541" s="4" t="s">
        <v>3078</v>
      </c>
      <c r="E1541" s="4"/>
      <c r="F1541" s="18" t="s">
        <v>47</v>
      </c>
      <c r="G1541" s="18" t="s">
        <v>47</v>
      </c>
      <c r="H1541" s="4" t="str">
        <f t="shared" si="3"/>
        <v>1/PC</v>
      </c>
      <c r="I1541" s="4">
        <v>1.0</v>
      </c>
      <c r="J1541" s="3" t="s">
        <v>42</v>
      </c>
      <c r="K1541" s="16">
        <v>128.8303571428571</v>
      </c>
      <c r="L1541" s="16"/>
    </row>
    <row r="1542" ht="15.75" customHeight="1">
      <c r="A1542" s="17" t="s">
        <v>2037</v>
      </c>
      <c r="C1542" s="4" t="s">
        <v>3079</v>
      </c>
      <c r="D1542" s="4" t="s">
        <v>3080</v>
      </c>
      <c r="E1542" s="4"/>
      <c r="F1542" s="18" t="s">
        <v>47</v>
      </c>
      <c r="G1542" s="18" t="s">
        <v>47</v>
      </c>
      <c r="H1542" s="4" t="str">
        <f t="shared" si="3"/>
        <v>1/PC</v>
      </c>
      <c r="I1542" s="4">
        <v>1.0</v>
      </c>
      <c r="J1542" s="3" t="s">
        <v>42</v>
      </c>
      <c r="K1542" s="16">
        <v>48.21428571428571</v>
      </c>
      <c r="L1542" s="16"/>
    </row>
    <row r="1543" ht="15.75" customHeight="1">
      <c r="A1543" s="17" t="s">
        <v>2037</v>
      </c>
      <c r="C1543" s="4" t="s">
        <v>3081</v>
      </c>
      <c r="D1543" s="4" t="s">
        <v>3082</v>
      </c>
      <c r="E1543" s="4"/>
      <c r="F1543" s="18" t="s">
        <v>47</v>
      </c>
      <c r="G1543" s="18" t="s">
        <v>47</v>
      </c>
      <c r="H1543" s="4" t="str">
        <f t="shared" si="3"/>
        <v>1/PC</v>
      </c>
      <c r="I1543" s="18">
        <v>1.0</v>
      </c>
      <c r="J1543" s="19" t="s">
        <v>42</v>
      </c>
      <c r="K1543" s="16">
        <v>133.92857142857142</v>
      </c>
      <c r="L1543" s="16"/>
    </row>
    <row r="1544" ht="15.75" customHeight="1">
      <c r="A1544" s="17" t="s">
        <v>2037</v>
      </c>
      <c r="C1544" s="4" t="s">
        <v>3083</v>
      </c>
      <c r="D1544" s="4" t="s">
        <v>3084</v>
      </c>
      <c r="E1544" s="4"/>
      <c r="F1544" s="18" t="s">
        <v>47</v>
      </c>
      <c r="G1544" s="18" t="s">
        <v>47</v>
      </c>
      <c r="H1544" s="4" t="str">
        <f t="shared" si="3"/>
        <v>1/PC</v>
      </c>
      <c r="I1544" s="18">
        <v>1.0</v>
      </c>
      <c r="J1544" s="19" t="s">
        <v>42</v>
      </c>
      <c r="K1544" s="16">
        <v>85.71</v>
      </c>
      <c r="L1544" s="16"/>
    </row>
    <row r="1545" ht="15.75" customHeight="1">
      <c r="A1545" s="17" t="s">
        <v>2037</v>
      </c>
      <c r="C1545" s="4" t="s">
        <v>3085</v>
      </c>
      <c r="D1545" s="4" t="s">
        <v>3086</v>
      </c>
      <c r="E1545" s="4"/>
      <c r="F1545" s="18" t="s">
        <v>47</v>
      </c>
      <c r="G1545" s="18" t="s">
        <v>47</v>
      </c>
      <c r="H1545" s="4" t="str">
        <f t="shared" si="3"/>
        <v>12/case</v>
      </c>
      <c r="I1545" s="18">
        <v>12.0</v>
      </c>
      <c r="J1545" s="19" t="s">
        <v>2266</v>
      </c>
      <c r="K1545" s="16">
        <v>753.41</v>
      </c>
      <c r="L1545" s="16"/>
    </row>
    <row r="1546" ht="15.75" customHeight="1">
      <c r="A1546" s="17" t="s">
        <v>16</v>
      </c>
      <c r="C1546" s="4" t="s">
        <v>3087</v>
      </c>
      <c r="D1546" s="4" t="s">
        <v>3088</v>
      </c>
      <c r="E1546" s="4"/>
      <c r="F1546" s="18" t="s">
        <v>40</v>
      </c>
      <c r="G1546" s="18" t="s">
        <v>41</v>
      </c>
      <c r="H1546" s="4" t="str">
        <f t="shared" si="3"/>
        <v>100/BUNDLE</v>
      </c>
      <c r="I1546" s="4">
        <v>100.0</v>
      </c>
      <c r="J1546" s="3" t="s">
        <v>2506</v>
      </c>
      <c r="K1546" s="16">
        <v>651.7857142857142</v>
      </c>
      <c r="L1546" s="16"/>
    </row>
    <row r="1547" ht="15.75" customHeight="1">
      <c r="A1547" s="17" t="s">
        <v>16</v>
      </c>
      <c r="C1547" s="4" t="s">
        <v>3089</v>
      </c>
      <c r="D1547" s="4" t="s">
        <v>3090</v>
      </c>
      <c r="E1547" s="4"/>
      <c r="F1547" s="18" t="s">
        <v>40</v>
      </c>
      <c r="G1547" s="18" t="s">
        <v>41</v>
      </c>
      <c r="H1547" s="4" t="str">
        <f t="shared" si="3"/>
        <v>100/PACK</v>
      </c>
      <c r="I1547" s="4">
        <v>100.0</v>
      </c>
      <c r="J1547" s="3" t="s">
        <v>23</v>
      </c>
      <c r="K1547" s="16">
        <v>580.3571428571428</v>
      </c>
      <c r="L1547" s="16"/>
    </row>
    <row r="1548" ht="15.75" customHeight="1">
      <c r="A1548" s="17" t="s">
        <v>2037</v>
      </c>
      <c r="C1548" s="4" t="s">
        <v>3091</v>
      </c>
      <c r="D1548" s="4" t="s">
        <v>3092</v>
      </c>
      <c r="E1548" s="4"/>
      <c r="F1548" s="18" t="s">
        <v>47</v>
      </c>
      <c r="G1548" s="18" t="s">
        <v>47</v>
      </c>
      <c r="H1548" s="4" t="str">
        <f t="shared" si="3"/>
        <v>1/PC</v>
      </c>
      <c r="I1548" s="18">
        <v>1.0</v>
      </c>
      <c r="J1548" s="19" t="s">
        <v>42</v>
      </c>
      <c r="K1548" s="16">
        <v>297.32142857142856</v>
      </c>
      <c r="L1548" s="16"/>
    </row>
    <row r="1549" ht="15.75" customHeight="1">
      <c r="A1549" s="17" t="s">
        <v>2037</v>
      </c>
      <c r="C1549" s="4" t="s">
        <v>3093</v>
      </c>
      <c r="D1549" s="4" t="s">
        <v>3094</v>
      </c>
      <c r="E1549" s="4"/>
      <c r="F1549" s="18" t="s">
        <v>47</v>
      </c>
      <c r="G1549" s="18" t="s">
        <v>47</v>
      </c>
      <c r="H1549" s="4" t="str">
        <f t="shared" si="3"/>
        <v>1/PC</v>
      </c>
      <c r="I1549" s="4">
        <v>1.0</v>
      </c>
      <c r="J1549" s="3" t="s">
        <v>42</v>
      </c>
      <c r="K1549" s="16">
        <v>391.96</v>
      </c>
      <c r="L1549" s="16"/>
    </row>
    <row r="1550" ht="15.75" customHeight="1">
      <c r="A1550" s="17" t="s">
        <v>2037</v>
      </c>
      <c r="C1550" s="4" t="s">
        <v>3095</v>
      </c>
      <c r="D1550" s="4" t="s">
        <v>3096</v>
      </c>
      <c r="E1550" s="4"/>
      <c r="F1550" s="18" t="s">
        <v>47</v>
      </c>
      <c r="G1550" s="18" t="s">
        <v>47</v>
      </c>
      <c r="H1550" s="4" t="str">
        <f t="shared" si="3"/>
        <v>1/PC</v>
      </c>
      <c r="I1550" s="18">
        <v>1.0</v>
      </c>
      <c r="J1550" s="19" t="s">
        <v>42</v>
      </c>
      <c r="K1550" s="16">
        <v>254.46</v>
      </c>
      <c r="L1550" s="16"/>
    </row>
    <row r="1551" ht="15.75" customHeight="1">
      <c r="A1551" s="17" t="s">
        <v>16</v>
      </c>
      <c r="C1551" s="4" t="s">
        <v>3097</v>
      </c>
      <c r="D1551" s="4" t="s">
        <v>3098</v>
      </c>
      <c r="E1551" s="4"/>
      <c r="F1551" s="18" t="s">
        <v>40</v>
      </c>
      <c r="G1551" s="18" t="s">
        <v>41</v>
      </c>
      <c r="H1551" s="4" t="str">
        <f t="shared" si="3"/>
        <v>12/BOX</v>
      </c>
      <c r="I1551" s="4">
        <v>12.0</v>
      </c>
      <c r="J1551" s="3" t="s">
        <v>734</v>
      </c>
      <c r="K1551" s="16">
        <v>17.857142857142854</v>
      </c>
      <c r="L1551" s="16"/>
    </row>
    <row r="1552" ht="15.75" customHeight="1">
      <c r="A1552" s="17" t="s">
        <v>16</v>
      </c>
      <c r="C1552" s="4" t="s">
        <v>3099</v>
      </c>
      <c r="D1552" s="4" t="s">
        <v>3100</v>
      </c>
      <c r="E1552" s="4"/>
      <c r="F1552" s="18" t="s">
        <v>40</v>
      </c>
      <c r="G1552" s="18" t="s">
        <v>41</v>
      </c>
      <c r="H1552" s="4" t="str">
        <f t="shared" si="3"/>
        <v>10/PACK</v>
      </c>
      <c r="I1552" s="18">
        <v>10.0</v>
      </c>
      <c r="J1552" s="19" t="s">
        <v>23</v>
      </c>
      <c r="K1552" s="16">
        <v>17.86</v>
      </c>
      <c r="L1552" s="16"/>
    </row>
    <row r="1553" ht="15.75" customHeight="1">
      <c r="A1553" s="17" t="s">
        <v>2037</v>
      </c>
      <c r="C1553" s="4" t="s">
        <v>3101</v>
      </c>
      <c r="D1553" s="4" t="s">
        <v>3102</v>
      </c>
      <c r="E1553" s="4"/>
      <c r="F1553" s="18" t="s">
        <v>47</v>
      </c>
      <c r="G1553" s="18" t="s">
        <v>47</v>
      </c>
      <c r="H1553" s="4" t="str">
        <f t="shared" si="3"/>
        <v>1/PC</v>
      </c>
      <c r="I1553" s="18">
        <v>1.0</v>
      </c>
      <c r="J1553" s="19" t="s">
        <v>42</v>
      </c>
      <c r="K1553" s="16">
        <v>49.107142857142854</v>
      </c>
      <c r="L1553" s="16"/>
    </row>
    <row r="1554" ht="15.75" customHeight="1">
      <c r="A1554" s="17" t="s">
        <v>16</v>
      </c>
      <c r="C1554" s="4" t="s">
        <v>3103</v>
      </c>
      <c r="D1554" s="4" t="s">
        <v>3104</v>
      </c>
      <c r="E1554" s="4"/>
      <c r="F1554" s="18" t="s">
        <v>40</v>
      </c>
      <c r="G1554" s="18" t="s">
        <v>41</v>
      </c>
      <c r="H1554" s="4" t="str">
        <f t="shared" si="3"/>
        <v>100/PACK</v>
      </c>
      <c r="I1554" s="18">
        <v>100.0</v>
      </c>
      <c r="J1554" s="19" t="s">
        <v>23</v>
      </c>
      <c r="K1554" s="16">
        <v>60.71</v>
      </c>
      <c r="L1554" s="16"/>
    </row>
    <row r="1555" ht="15.75" customHeight="1">
      <c r="A1555" s="17" t="s">
        <v>16</v>
      </c>
      <c r="C1555" s="4" t="s">
        <v>3105</v>
      </c>
      <c r="D1555" s="4" t="s">
        <v>3106</v>
      </c>
      <c r="E1555" s="4"/>
      <c r="F1555" s="18" t="s">
        <v>40</v>
      </c>
      <c r="G1555" s="18" t="s">
        <v>41</v>
      </c>
      <c r="H1555" s="4" t="str">
        <f t="shared" si="3"/>
        <v>25/PACK</v>
      </c>
      <c r="I1555" s="18">
        <v>25.0</v>
      </c>
      <c r="J1555" s="19" t="s">
        <v>23</v>
      </c>
      <c r="K1555" s="16">
        <v>18.973214285714285</v>
      </c>
      <c r="L1555" s="16"/>
    </row>
    <row r="1556" ht="15.75" customHeight="1">
      <c r="A1556" s="17" t="s">
        <v>2037</v>
      </c>
      <c r="C1556" s="4" t="s">
        <v>3107</v>
      </c>
      <c r="D1556" s="4" t="s">
        <v>3108</v>
      </c>
      <c r="E1556" s="4"/>
      <c r="F1556" s="18" t="s">
        <v>47</v>
      </c>
      <c r="G1556" s="18" t="s">
        <v>47</v>
      </c>
      <c r="H1556" s="4" t="str">
        <f t="shared" si="3"/>
        <v>1/PC</v>
      </c>
      <c r="I1556" s="18">
        <v>1.0</v>
      </c>
      <c r="J1556" s="19" t="s">
        <v>42</v>
      </c>
      <c r="K1556" s="16">
        <v>26.785714285714285</v>
      </c>
      <c r="L1556" s="16"/>
    </row>
    <row r="1557" ht="15.75" customHeight="1">
      <c r="A1557" s="17" t="s">
        <v>2037</v>
      </c>
      <c r="C1557" s="4" t="s">
        <v>3109</v>
      </c>
      <c r="D1557" s="4" t="s">
        <v>3110</v>
      </c>
      <c r="E1557" s="4"/>
      <c r="F1557" s="18" t="s">
        <v>47</v>
      </c>
      <c r="G1557" s="18" t="s">
        <v>47</v>
      </c>
      <c r="H1557" s="4" t="str">
        <f t="shared" si="3"/>
        <v>1/PC</v>
      </c>
      <c r="I1557" s="18">
        <v>1.0</v>
      </c>
      <c r="J1557" s="19" t="s">
        <v>42</v>
      </c>
      <c r="K1557" s="16">
        <v>66.96428571428571</v>
      </c>
      <c r="L1557" s="16"/>
    </row>
    <row r="1558" ht="15.75" customHeight="1">
      <c r="A1558" s="17" t="s">
        <v>2037</v>
      </c>
      <c r="C1558" s="4" t="s">
        <v>3111</v>
      </c>
      <c r="D1558" s="4" t="s">
        <v>3112</v>
      </c>
      <c r="E1558" s="4"/>
      <c r="F1558" s="18" t="s">
        <v>47</v>
      </c>
      <c r="G1558" s="18" t="s">
        <v>47</v>
      </c>
      <c r="H1558" s="4" t="str">
        <f t="shared" si="3"/>
        <v>1/PC</v>
      </c>
      <c r="I1558" s="18">
        <v>1.0</v>
      </c>
      <c r="J1558" s="19" t="s">
        <v>42</v>
      </c>
      <c r="K1558" s="16">
        <v>56.24999999999999</v>
      </c>
      <c r="L1558" s="16"/>
    </row>
    <row r="1559" ht="15.75" customHeight="1">
      <c r="A1559" s="17" t="s">
        <v>2037</v>
      </c>
      <c r="C1559" s="4" t="s">
        <v>3113</v>
      </c>
      <c r="D1559" s="4" t="s">
        <v>3114</v>
      </c>
      <c r="E1559" s="4"/>
      <c r="F1559" s="18" t="s">
        <v>47</v>
      </c>
      <c r="G1559" s="18" t="s">
        <v>47</v>
      </c>
      <c r="H1559" s="4" t="str">
        <f t="shared" si="3"/>
        <v>1/PC</v>
      </c>
      <c r="I1559" s="18">
        <v>1.0</v>
      </c>
      <c r="J1559" s="19" t="s">
        <v>42</v>
      </c>
      <c r="K1559" s="16">
        <v>234.82142857142856</v>
      </c>
      <c r="L1559" s="16"/>
    </row>
    <row r="1560" ht="15.75" customHeight="1">
      <c r="A1560" s="17" t="s">
        <v>2037</v>
      </c>
      <c r="C1560" s="4" t="s">
        <v>3115</v>
      </c>
      <c r="D1560" s="4" t="s">
        <v>3116</v>
      </c>
      <c r="E1560" s="4"/>
      <c r="F1560" s="18" t="s">
        <v>47</v>
      </c>
      <c r="G1560" s="18" t="s">
        <v>47</v>
      </c>
      <c r="H1560" s="4" t="str">
        <f t="shared" si="3"/>
        <v>1/PC</v>
      </c>
      <c r="I1560" s="18">
        <v>1.0</v>
      </c>
      <c r="J1560" s="19" t="s">
        <v>42</v>
      </c>
      <c r="K1560" s="16">
        <v>80.13392857142857</v>
      </c>
      <c r="L1560" s="16"/>
    </row>
    <row r="1561" ht="15.75" customHeight="1">
      <c r="A1561" s="17" t="s">
        <v>2037</v>
      </c>
      <c r="C1561" s="4" t="s">
        <v>3117</v>
      </c>
      <c r="D1561" s="4" t="s">
        <v>3118</v>
      </c>
      <c r="E1561" s="4"/>
      <c r="F1561" s="18" t="s">
        <v>47</v>
      </c>
      <c r="G1561" s="18" t="s">
        <v>47</v>
      </c>
      <c r="H1561" s="4" t="str">
        <f t="shared" si="3"/>
        <v>1/PC</v>
      </c>
      <c r="I1561" s="4">
        <v>1.0</v>
      </c>
      <c r="J1561" s="3" t="s">
        <v>42</v>
      </c>
      <c r="K1561" s="16">
        <v>31.02678571428571</v>
      </c>
      <c r="L1561" s="16"/>
    </row>
    <row r="1562" ht="15.75" customHeight="1">
      <c r="A1562" s="17" t="s">
        <v>2037</v>
      </c>
      <c r="C1562" s="4" t="s">
        <v>3119</v>
      </c>
      <c r="D1562" s="4" t="s">
        <v>3120</v>
      </c>
      <c r="E1562" s="4"/>
      <c r="F1562" s="18" t="s">
        <v>47</v>
      </c>
      <c r="G1562" s="18" t="s">
        <v>47</v>
      </c>
      <c r="H1562" s="4" t="str">
        <f t="shared" si="3"/>
        <v>1/PC</v>
      </c>
      <c r="I1562" s="18">
        <v>1.0</v>
      </c>
      <c r="J1562" s="19" t="s">
        <v>42</v>
      </c>
      <c r="K1562" s="16">
        <v>262.85714285714283</v>
      </c>
      <c r="L1562" s="16"/>
    </row>
    <row r="1563" ht="15.75" customHeight="1">
      <c r="A1563" s="17" t="s">
        <v>16</v>
      </c>
      <c r="C1563" s="4" t="s">
        <v>3121</v>
      </c>
      <c r="D1563" s="4" t="s">
        <v>3122</v>
      </c>
      <c r="E1563" s="4"/>
      <c r="F1563" s="18" t="s">
        <v>40</v>
      </c>
      <c r="G1563" s="18" t="s">
        <v>367</v>
      </c>
      <c r="H1563" s="4" t="str">
        <f t="shared" si="3"/>
        <v>1/PC</v>
      </c>
      <c r="I1563" s="4">
        <v>1.0</v>
      </c>
      <c r="J1563" s="3" t="s">
        <v>42</v>
      </c>
      <c r="K1563" s="16">
        <v>214.28571428571428</v>
      </c>
      <c r="L1563" s="16"/>
    </row>
    <row r="1564" ht="15.75" customHeight="1">
      <c r="A1564" s="17" t="s">
        <v>16</v>
      </c>
      <c r="C1564" s="4" t="s">
        <v>3123</v>
      </c>
      <c r="D1564" s="4" t="s">
        <v>3124</v>
      </c>
      <c r="E1564" s="4"/>
      <c r="F1564" s="18" t="s">
        <v>40</v>
      </c>
      <c r="G1564" s="18" t="s">
        <v>41</v>
      </c>
      <c r="H1564" s="4" t="str">
        <f t="shared" si="3"/>
        <v>100/PC</v>
      </c>
      <c r="I1564" s="4">
        <v>100.0</v>
      </c>
      <c r="J1564" s="3" t="s">
        <v>42</v>
      </c>
      <c r="K1564" s="16">
        <v>6.29</v>
      </c>
      <c r="L1564" s="16"/>
    </row>
    <row r="1565" ht="15.75" customHeight="1">
      <c r="A1565" s="17" t="s">
        <v>2037</v>
      </c>
      <c r="C1565" s="4" t="s">
        <v>3125</v>
      </c>
      <c r="D1565" s="4" t="s">
        <v>3126</v>
      </c>
      <c r="E1565" s="4"/>
      <c r="F1565" s="18" t="s">
        <v>47</v>
      </c>
      <c r="G1565" s="18" t="s">
        <v>47</v>
      </c>
      <c r="H1565" s="4" t="str">
        <f t="shared" si="3"/>
        <v>1/PC</v>
      </c>
      <c r="I1565" s="4">
        <v>1.0</v>
      </c>
      <c r="J1565" s="3" t="s">
        <v>42</v>
      </c>
      <c r="K1565" s="16">
        <v>502.59785714285704</v>
      </c>
      <c r="L1565" s="16"/>
    </row>
    <row r="1566" ht="15.75" customHeight="1">
      <c r="A1566" s="17" t="s">
        <v>16</v>
      </c>
      <c r="C1566" s="4" t="s">
        <v>3127</v>
      </c>
      <c r="D1566" s="4" t="s">
        <v>3128</v>
      </c>
      <c r="E1566" s="4"/>
      <c r="F1566" s="18" t="s">
        <v>40</v>
      </c>
      <c r="G1566" s="18" t="s">
        <v>41</v>
      </c>
      <c r="H1566" s="4" t="str">
        <f t="shared" si="3"/>
        <v>100/PACK</v>
      </c>
      <c r="I1566" s="4">
        <v>100.0</v>
      </c>
      <c r="J1566" s="3" t="s">
        <v>23</v>
      </c>
      <c r="K1566" s="16">
        <v>80.36</v>
      </c>
      <c r="L1566" s="16"/>
    </row>
    <row r="1567" ht="15.75" customHeight="1">
      <c r="A1567" s="17" t="s">
        <v>16</v>
      </c>
      <c r="C1567" s="4" t="s">
        <v>3129</v>
      </c>
      <c r="D1567" s="4" t="s">
        <v>3130</v>
      </c>
      <c r="E1567" s="4"/>
      <c r="F1567" s="18" t="s">
        <v>40</v>
      </c>
      <c r="G1567" s="18" t="s">
        <v>41</v>
      </c>
      <c r="H1567" s="4" t="str">
        <f t="shared" si="3"/>
        <v>100/PACK</v>
      </c>
      <c r="I1567" s="18">
        <v>100.0</v>
      </c>
      <c r="J1567" s="19" t="s">
        <v>23</v>
      </c>
      <c r="K1567" s="16">
        <v>80.36</v>
      </c>
      <c r="L1567" s="16"/>
    </row>
    <row r="1568" ht="15.75" customHeight="1">
      <c r="A1568" s="17" t="s">
        <v>16</v>
      </c>
      <c r="C1568" s="4" t="s">
        <v>3131</v>
      </c>
      <c r="D1568" s="4" t="s">
        <v>3132</v>
      </c>
      <c r="E1568" s="4"/>
      <c r="F1568" s="18" t="s">
        <v>40</v>
      </c>
      <c r="G1568" s="18" t="s">
        <v>41</v>
      </c>
      <c r="H1568" s="4" t="str">
        <f t="shared" si="3"/>
        <v>100/PACK</v>
      </c>
      <c r="I1568" s="4">
        <v>100.0</v>
      </c>
      <c r="J1568" s="3" t="s">
        <v>23</v>
      </c>
      <c r="K1568" s="16">
        <v>80.36</v>
      </c>
      <c r="L1568" s="16"/>
    </row>
    <row r="1569" ht="15.75" customHeight="1">
      <c r="A1569" s="17" t="s">
        <v>16</v>
      </c>
      <c r="C1569" s="4" t="s">
        <v>3133</v>
      </c>
      <c r="D1569" s="4" t="s">
        <v>3134</v>
      </c>
      <c r="E1569" s="4"/>
      <c r="F1569" s="18" t="s">
        <v>40</v>
      </c>
      <c r="G1569" s="18" t="s">
        <v>41</v>
      </c>
      <c r="H1569" s="4" t="str">
        <f t="shared" si="3"/>
        <v>100/PACK</v>
      </c>
      <c r="I1569" s="4">
        <v>100.0</v>
      </c>
      <c r="J1569" s="3" t="s">
        <v>23</v>
      </c>
      <c r="K1569" s="16">
        <v>80.36</v>
      </c>
      <c r="L1569" s="16"/>
    </row>
    <row r="1570" ht="15.75" customHeight="1">
      <c r="A1570" s="17" t="s">
        <v>2037</v>
      </c>
      <c r="C1570" s="4" t="s">
        <v>3135</v>
      </c>
      <c r="D1570" s="4" t="s">
        <v>3136</v>
      </c>
      <c r="E1570" s="4"/>
      <c r="F1570" s="18" t="s">
        <v>47</v>
      </c>
      <c r="G1570" s="18" t="s">
        <v>47</v>
      </c>
      <c r="H1570" s="4" t="str">
        <f t="shared" si="3"/>
        <v>1/PC</v>
      </c>
      <c r="I1570" s="18">
        <v>1.0</v>
      </c>
      <c r="J1570" s="19" t="s">
        <v>42</v>
      </c>
      <c r="K1570" s="16">
        <v>535.7142857142857</v>
      </c>
      <c r="L1570" s="16"/>
    </row>
    <row r="1571" ht="15.75" customHeight="1">
      <c r="A1571" s="17" t="s">
        <v>16</v>
      </c>
      <c r="C1571" s="46" t="s">
        <v>3137</v>
      </c>
      <c r="D1571" s="46" t="s">
        <v>3138</v>
      </c>
      <c r="E1571" s="46"/>
      <c r="F1571" s="18" t="s">
        <v>40</v>
      </c>
      <c r="G1571" s="18" t="s">
        <v>41</v>
      </c>
      <c r="H1571" s="4" t="str">
        <f t="shared" si="3"/>
        <v>100/PACK</v>
      </c>
      <c r="I1571" s="18">
        <v>100.0</v>
      </c>
      <c r="J1571" s="19" t="s">
        <v>23</v>
      </c>
      <c r="K1571" s="16">
        <v>31.25</v>
      </c>
      <c r="L1571" s="16"/>
    </row>
    <row r="1572" ht="15.75" customHeight="1">
      <c r="A1572" s="17" t="s">
        <v>16</v>
      </c>
      <c r="C1572" s="4" t="s">
        <v>3139</v>
      </c>
      <c r="D1572" s="4" t="s">
        <v>3140</v>
      </c>
      <c r="E1572" s="4"/>
      <c r="F1572" s="18" t="s">
        <v>40</v>
      </c>
      <c r="G1572" s="18" t="s">
        <v>41</v>
      </c>
      <c r="H1572" s="4" t="str">
        <f t="shared" si="3"/>
        <v>1/PC</v>
      </c>
      <c r="I1572" s="4">
        <v>1.0</v>
      </c>
      <c r="J1572" s="3" t="s">
        <v>42</v>
      </c>
      <c r="K1572" s="16">
        <v>32.14</v>
      </c>
      <c r="L1572" s="16"/>
    </row>
    <row r="1573" ht="15.75" customHeight="1">
      <c r="A1573" s="17" t="s">
        <v>16</v>
      </c>
      <c r="C1573" s="4" t="s">
        <v>3141</v>
      </c>
      <c r="D1573" s="4" t="s">
        <v>3142</v>
      </c>
      <c r="E1573" s="4"/>
      <c r="F1573" s="18" t="s">
        <v>40</v>
      </c>
      <c r="G1573" s="18" t="s">
        <v>367</v>
      </c>
      <c r="H1573" s="4" t="str">
        <f t="shared" si="3"/>
        <v>1/GAL</v>
      </c>
      <c r="I1573" s="18">
        <v>1.0</v>
      </c>
      <c r="J1573" s="19" t="s">
        <v>2095</v>
      </c>
      <c r="K1573" s="16">
        <v>1132.59</v>
      </c>
      <c r="L1573" s="16"/>
    </row>
    <row r="1574" ht="15.75" customHeight="1">
      <c r="A1574" s="17" t="s">
        <v>16</v>
      </c>
      <c r="C1574" s="4" t="s">
        <v>3143</v>
      </c>
      <c r="D1574" s="4" t="s">
        <v>3144</v>
      </c>
      <c r="E1574" s="4"/>
      <c r="F1574" s="18" t="s">
        <v>40</v>
      </c>
      <c r="G1574" s="18" t="s">
        <v>41</v>
      </c>
      <c r="H1574" s="4" t="str">
        <f t="shared" si="3"/>
        <v>1/BAG</v>
      </c>
      <c r="I1574" s="4">
        <v>1.0</v>
      </c>
      <c r="J1574" s="3" t="s">
        <v>2115</v>
      </c>
      <c r="K1574" s="16">
        <v>183.79</v>
      </c>
      <c r="L1574" s="16"/>
    </row>
    <row r="1575" ht="15.75" customHeight="1">
      <c r="A1575" s="17" t="s">
        <v>16</v>
      </c>
      <c r="C1575" s="4" t="s">
        <v>3145</v>
      </c>
      <c r="D1575" s="4" t="s">
        <v>3146</v>
      </c>
      <c r="E1575" s="4"/>
      <c r="F1575" s="18" t="s">
        <v>40</v>
      </c>
      <c r="G1575" s="18" t="s">
        <v>41</v>
      </c>
      <c r="H1575" s="4" t="str">
        <f t="shared" si="3"/>
        <v>100/PACK</v>
      </c>
      <c r="I1575" s="4">
        <v>100.0</v>
      </c>
      <c r="J1575" s="3" t="s">
        <v>23</v>
      </c>
      <c r="K1575" s="16">
        <v>803.57</v>
      </c>
      <c r="L1575" s="16"/>
    </row>
    <row r="1576" ht="15.75" customHeight="1">
      <c r="A1576" s="17" t="s">
        <v>16</v>
      </c>
      <c r="C1576" s="4" t="s">
        <v>3147</v>
      </c>
      <c r="D1576" s="4" t="s">
        <v>3148</v>
      </c>
      <c r="E1576" s="4"/>
      <c r="F1576" s="18" t="s">
        <v>40</v>
      </c>
      <c r="G1576" s="18" t="s">
        <v>448</v>
      </c>
      <c r="H1576" s="4" t="str">
        <f t="shared" si="3"/>
        <v>1/ROLL</v>
      </c>
      <c r="I1576" s="4">
        <v>1.0</v>
      </c>
      <c r="J1576" s="3" t="s">
        <v>44</v>
      </c>
      <c r="K1576" s="16">
        <v>6.6517857142857135</v>
      </c>
      <c r="L1576" s="16"/>
    </row>
    <row r="1577" ht="15.75" customHeight="1">
      <c r="A1577" s="17" t="s">
        <v>16</v>
      </c>
      <c r="C1577" s="4" t="s">
        <v>3149</v>
      </c>
      <c r="D1577" s="4" t="s">
        <v>3150</v>
      </c>
      <c r="E1577" s="4"/>
      <c r="F1577" s="18" t="s">
        <v>40</v>
      </c>
      <c r="G1577" s="18" t="s">
        <v>448</v>
      </c>
      <c r="H1577" s="4" t="str">
        <f t="shared" si="3"/>
        <v>1/PC</v>
      </c>
      <c r="I1577" s="4">
        <v>1.0</v>
      </c>
      <c r="J1577" s="3" t="s">
        <v>42</v>
      </c>
      <c r="K1577" s="16">
        <v>22.32</v>
      </c>
      <c r="L1577" s="16"/>
    </row>
    <row r="1578" ht="15.75" customHeight="1">
      <c r="A1578" s="17" t="s">
        <v>16</v>
      </c>
      <c r="C1578" s="4" t="s">
        <v>3151</v>
      </c>
      <c r="D1578" s="4" t="s">
        <v>3152</v>
      </c>
      <c r="E1578" s="4"/>
      <c r="F1578" s="18" t="s">
        <v>40</v>
      </c>
      <c r="G1578" s="18" t="s">
        <v>448</v>
      </c>
      <c r="H1578" s="4" t="str">
        <f t="shared" si="3"/>
        <v>1/PC</v>
      </c>
      <c r="I1578" s="4">
        <v>1.0</v>
      </c>
      <c r="J1578" s="3" t="s">
        <v>42</v>
      </c>
      <c r="K1578" s="16">
        <v>62.5</v>
      </c>
      <c r="L1578" s="16"/>
    </row>
    <row r="1579" ht="15.75" customHeight="1">
      <c r="A1579" s="17" t="s">
        <v>16</v>
      </c>
      <c r="C1579" s="4" t="s">
        <v>3153</v>
      </c>
      <c r="D1579" s="4" t="s">
        <v>3154</v>
      </c>
      <c r="E1579" s="4"/>
      <c r="F1579" s="18" t="s">
        <v>40</v>
      </c>
      <c r="G1579" s="18" t="s">
        <v>41</v>
      </c>
      <c r="H1579" s="4" t="str">
        <f t="shared" si="3"/>
        <v>50/Pack</v>
      </c>
      <c r="I1579" s="4">
        <v>50.0</v>
      </c>
      <c r="J1579" s="3" t="s">
        <v>441</v>
      </c>
      <c r="K1579" s="16">
        <v>141.96</v>
      </c>
      <c r="L1579" s="16"/>
    </row>
    <row r="1580" ht="15.75" customHeight="1">
      <c r="A1580" s="17" t="s">
        <v>16</v>
      </c>
      <c r="C1580" s="4" t="s">
        <v>3155</v>
      </c>
      <c r="D1580" s="4" t="s">
        <v>3156</v>
      </c>
      <c r="E1580" s="4"/>
      <c r="F1580" s="18" t="s">
        <v>40</v>
      </c>
      <c r="G1580" s="18" t="s">
        <v>41</v>
      </c>
      <c r="H1580" s="4" t="str">
        <f t="shared" si="3"/>
        <v>1/PC</v>
      </c>
      <c r="I1580" s="18">
        <v>1.0</v>
      </c>
      <c r="J1580" s="19" t="s">
        <v>42</v>
      </c>
      <c r="K1580" s="16">
        <v>19.45</v>
      </c>
      <c r="L1580" s="16"/>
    </row>
    <row r="1581" ht="15.75" customHeight="1">
      <c r="A1581" s="17" t="s">
        <v>16</v>
      </c>
      <c r="C1581" s="4" t="s">
        <v>3157</v>
      </c>
      <c r="D1581" s="4" t="s">
        <v>3158</v>
      </c>
      <c r="E1581" s="4"/>
      <c r="F1581" s="18" t="s">
        <v>40</v>
      </c>
      <c r="G1581" s="18" t="s">
        <v>41</v>
      </c>
      <c r="H1581" s="4" t="str">
        <f t="shared" si="3"/>
        <v>100/PC</v>
      </c>
      <c r="I1581" s="4">
        <v>100.0</v>
      </c>
      <c r="J1581" s="3" t="s">
        <v>42</v>
      </c>
      <c r="K1581" s="16">
        <v>223.21</v>
      </c>
      <c r="L1581" s="16"/>
    </row>
    <row r="1582" ht="15.75" customHeight="1">
      <c r="A1582" s="17" t="s">
        <v>2037</v>
      </c>
      <c r="C1582" s="4" t="s">
        <v>3159</v>
      </c>
      <c r="D1582" s="4" t="s">
        <v>3160</v>
      </c>
      <c r="E1582" s="4"/>
      <c r="F1582" s="18" t="s">
        <v>47</v>
      </c>
      <c r="G1582" s="18" t="s">
        <v>47</v>
      </c>
      <c r="H1582" s="4" t="str">
        <f t="shared" si="3"/>
        <v>1/PC</v>
      </c>
      <c r="I1582" s="4">
        <v>1.0</v>
      </c>
      <c r="J1582" s="3" t="s">
        <v>42</v>
      </c>
      <c r="K1582" s="16">
        <v>180.71</v>
      </c>
      <c r="L1582" s="16"/>
    </row>
    <row r="1583" ht="15.75" customHeight="1">
      <c r="A1583" s="17" t="s">
        <v>16</v>
      </c>
      <c r="C1583" s="4" t="s">
        <v>3161</v>
      </c>
      <c r="D1583" s="4" t="s">
        <v>3162</v>
      </c>
      <c r="E1583" s="4"/>
      <c r="F1583" s="18" t="s">
        <v>40</v>
      </c>
      <c r="G1583" s="18" t="s">
        <v>367</v>
      </c>
      <c r="H1583" s="4" t="str">
        <f t="shared" si="3"/>
        <v>25/Pack</v>
      </c>
      <c r="I1583" s="4">
        <v>25.0</v>
      </c>
      <c r="J1583" s="3" t="s">
        <v>441</v>
      </c>
      <c r="K1583" s="16">
        <v>19.642857142857142</v>
      </c>
      <c r="L1583" s="16"/>
    </row>
    <row r="1584" ht="15.75" customHeight="1">
      <c r="A1584" s="17" t="s">
        <v>16</v>
      </c>
      <c r="C1584" s="4" t="s">
        <v>3163</v>
      </c>
      <c r="D1584" s="4" t="s">
        <v>3164</v>
      </c>
      <c r="E1584" s="4"/>
      <c r="F1584" s="18" t="s">
        <v>40</v>
      </c>
      <c r="G1584" s="18" t="s">
        <v>367</v>
      </c>
      <c r="H1584" s="4" t="str">
        <f t="shared" si="3"/>
        <v>50/PACK</v>
      </c>
      <c r="I1584" s="4">
        <v>50.0</v>
      </c>
      <c r="J1584" s="3" t="s">
        <v>23</v>
      </c>
      <c r="K1584" s="16">
        <v>17.68</v>
      </c>
      <c r="L1584" s="16"/>
    </row>
    <row r="1585" ht="15.75" customHeight="1">
      <c r="A1585" s="17" t="s">
        <v>16</v>
      </c>
      <c r="C1585" s="4" t="s">
        <v>3165</v>
      </c>
      <c r="D1585" s="4" t="s">
        <v>3166</v>
      </c>
      <c r="E1585" s="4"/>
      <c r="F1585" s="18" t="s">
        <v>40</v>
      </c>
      <c r="G1585" s="18" t="s">
        <v>367</v>
      </c>
      <c r="H1585" s="4" t="str">
        <f t="shared" si="3"/>
        <v>50/PACK</v>
      </c>
      <c r="I1585" s="18">
        <v>50.0</v>
      </c>
      <c r="J1585" s="19" t="s">
        <v>23</v>
      </c>
      <c r="K1585" s="16">
        <v>14.73</v>
      </c>
      <c r="L1585" s="16"/>
    </row>
    <row r="1586" ht="15.75" customHeight="1">
      <c r="A1586" s="17" t="s">
        <v>16</v>
      </c>
      <c r="C1586" s="4" t="s">
        <v>3167</v>
      </c>
      <c r="D1586" s="4" t="s">
        <v>3168</v>
      </c>
      <c r="E1586" s="4"/>
      <c r="F1586" s="18" t="s">
        <v>40</v>
      </c>
      <c r="G1586" s="18" t="s">
        <v>367</v>
      </c>
      <c r="H1586" s="4" t="str">
        <f t="shared" si="3"/>
        <v>50/pack</v>
      </c>
      <c r="I1586" s="18">
        <v>50.0</v>
      </c>
      <c r="J1586" s="19" t="s">
        <v>134</v>
      </c>
      <c r="K1586" s="16">
        <v>33.21</v>
      </c>
      <c r="L1586" s="16"/>
    </row>
    <row r="1587" ht="15.75" customHeight="1">
      <c r="A1587" s="17" t="s">
        <v>16</v>
      </c>
      <c r="C1587" s="4" t="s">
        <v>3169</v>
      </c>
      <c r="D1587" s="4" t="s">
        <v>3170</v>
      </c>
      <c r="E1587" s="4"/>
      <c r="F1587" s="18" t="s">
        <v>40</v>
      </c>
      <c r="G1587" s="18" t="s">
        <v>367</v>
      </c>
      <c r="H1587" s="4" t="str">
        <f t="shared" si="3"/>
        <v>12/Case</v>
      </c>
      <c r="I1587" s="18">
        <v>12.0</v>
      </c>
      <c r="J1587" s="19" t="s">
        <v>2082</v>
      </c>
      <c r="K1587" s="16">
        <v>857.14</v>
      </c>
      <c r="L1587" s="16"/>
    </row>
    <row r="1588" ht="15.75" customHeight="1">
      <c r="A1588" s="17" t="s">
        <v>16</v>
      </c>
      <c r="C1588" s="4" t="s">
        <v>3171</v>
      </c>
      <c r="D1588" s="4" t="s">
        <v>3172</v>
      </c>
      <c r="E1588" s="4"/>
      <c r="F1588" s="18" t="s">
        <v>40</v>
      </c>
      <c r="G1588" s="18" t="s">
        <v>367</v>
      </c>
      <c r="H1588" s="4" t="str">
        <f t="shared" si="3"/>
        <v>48/Case</v>
      </c>
      <c r="I1588" s="18">
        <v>48.0</v>
      </c>
      <c r="J1588" s="19" t="s">
        <v>2082</v>
      </c>
      <c r="K1588" s="16">
        <v>272.32142857142856</v>
      </c>
      <c r="L1588" s="16"/>
    </row>
    <row r="1589" ht="15.75" customHeight="1">
      <c r="A1589" s="17" t="s">
        <v>2037</v>
      </c>
      <c r="C1589" s="4" t="s">
        <v>3173</v>
      </c>
      <c r="D1589" s="4" t="s">
        <v>3174</v>
      </c>
      <c r="E1589" s="4"/>
      <c r="F1589" s="18" t="s">
        <v>47</v>
      </c>
      <c r="G1589" s="18" t="s">
        <v>47</v>
      </c>
      <c r="H1589" s="4" t="str">
        <f t="shared" si="3"/>
        <v>1/PC</v>
      </c>
      <c r="I1589" s="18">
        <v>1.0</v>
      </c>
      <c r="J1589" s="19" t="s">
        <v>42</v>
      </c>
      <c r="K1589" s="16">
        <v>116.07142857142856</v>
      </c>
      <c r="L1589" s="16"/>
    </row>
    <row r="1590" ht="15.75" customHeight="1">
      <c r="A1590" s="17" t="s">
        <v>16</v>
      </c>
      <c r="C1590" s="4" t="s">
        <v>3175</v>
      </c>
      <c r="D1590" s="4" t="s">
        <v>3176</v>
      </c>
      <c r="E1590" s="4"/>
      <c r="F1590" s="18" t="s">
        <v>40</v>
      </c>
      <c r="G1590" s="18" t="s">
        <v>41</v>
      </c>
      <c r="H1590" s="4" t="str">
        <f t="shared" si="3"/>
        <v>100/PACK</v>
      </c>
      <c r="I1590" s="4">
        <v>100.0</v>
      </c>
      <c r="J1590" s="3" t="s">
        <v>23</v>
      </c>
      <c r="K1590" s="16">
        <v>116.07142857142856</v>
      </c>
      <c r="L1590" s="16"/>
    </row>
    <row r="1591" ht="15.75" customHeight="1">
      <c r="A1591" s="17" t="s">
        <v>16</v>
      </c>
      <c r="C1591" s="4" t="s">
        <v>3177</v>
      </c>
      <c r="D1591" s="4" t="s">
        <v>3178</v>
      </c>
      <c r="E1591" s="4"/>
      <c r="F1591" s="18" t="s">
        <v>40</v>
      </c>
      <c r="G1591" s="18" t="s">
        <v>367</v>
      </c>
      <c r="H1591" s="4" t="str">
        <f t="shared" si="3"/>
        <v>1/PC</v>
      </c>
      <c r="I1591" s="18">
        <v>1.0</v>
      </c>
      <c r="J1591" s="19" t="s">
        <v>42</v>
      </c>
      <c r="K1591" s="16">
        <v>1116.0714285714284</v>
      </c>
      <c r="L1591" s="16"/>
    </row>
    <row r="1592" ht="15.75" customHeight="1">
      <c r="A1592" s="17" t="s">
        <v>16</v>
      </c>
      <c r="C1592" s="4" t="s">
        <v>3179</v>
      </c>
      <c r="D1592" s="4" t="s">
        <v>3180</v>
      </c>
      <c r="E1592" s="4"/>
      <c r="F1592" s="18" t="s">
        <v>40</v>
      </c>
      <c r="G1592" s="18" t="s">
        <v>367</v>
      </c>
      <c r="H1592" s="4" t="str">
        <f t="shared" si="3"/>
        <v>1/PC</v>
      </c>
      <c r="I1592" s="18">
        <v>1.0</v>
      </c>
      <c r="J1592" s="19" t="s">
        <v>42</v>
      </c>
      <c r="K1592" s="16">
        <v>1785.7142857142856</v>
      </c>
      <c r="L1592" s="16"/>
    </row>
    <row r="1593" ht="15.75" customHeight="1">
      <c r="A1593" s="17" t="s">
        <v>16</v>
      </c>
      <c r="C1593" s="4" t="s">
        <v>3181</v>
      </c>
      <c r="D1593" s="4" t="s">
        <v>3182</v>
      </c>
      <c r="E1593" s="4"/>
      <c r="F1593" s="18" t="s">
        <v>40</v>
      </c>
      <c r="G1593" s="18" t="s">
        <v>41</v>
      </c>
      <c r="H1593" s="4" t="str">
        <f t="shared" si="3"/>
        <v>100/PACK</v>
      </c>
      <c r="I1593" s="18">
        <v>100.0</v>
      </c>
      <c r="J1593" s="19" t="s">
        <v>23</v>
      </c>
      <c r="K1593" s="16">
        <v>424.11</v>
      </c>
      <c r="L1593" s="16"/>
    </row>
    <row r="1594" ht="15.75" customHeight="1">
      <c r="A1594" s="17" t="s">
        <v>2037</v>
      </c>
      <c r="C1594" s="4" t="s">
        <v>3183</v>
      </c>
      <c r="D1594" s="4" t="s">
        <v>3184</v>
      </c>
      <c r="E1594" s="4"/>
      <c r="F1594" s="18" t="s">
        <v>47</v>
      </c>
      <c r="G1594" s="18" t="s">
        <v>47</v>
      </c>
      <c r="H1594" s="4" t="str">
        <f t="shared" si="3"/>
        <v>1/PC</v>
      </c>
      <c r="I1594" s="18">
        <v>1.0</v>
      </c>
      <c r="J1594" s="19" t="s">
        <v>42</v>
      </c>
      <c r="K1594" s="16">
        <v>93.74999999999999</v>
      </c>
      <c r="L1594" s="16"/>
    </row>
    <row r="1595" ht="15.75" customHeight="1">
      <c r="A1595" s="17" t="s">
        <v>2037</v>
      </c>
      <c r="C1595" s="4" t="s">
        <v>3185</v>
      </c>
      <c r="D1595" s="4" t="s">
        <v>3186</v>
      </c>
      <c r="E1595" s="4"/>
      <c r="F1595" s="18" t="s">
        <v>47</v>
      </c>
      <c r="G1595" s="18" t="s">
        <v>47</v>
      </c>
      <c r="H1595" s="4" t="str">
        <f t="shared" si="3"/>
        <v>1/PC</v>
      </c>
      <c r="I1595" s="18">
        <v>1.0</v>
      </c>
      <c r="J1595" s="19" t="s">
        <v>42</v>
      </c>
      <c r="K1595" s="16">
        <v>98.21428571428571</v>
      </c>
      <c r="L1595" s="16"/>
    </row>
    <row r="1596" ht="15.75" customHeight="1">
      <c r="A1596" s="17" t="s">
        <v>16</v>
      </c>
      <c r="C1596" s="4" t="s">
        <v>3187</v>
      </c>
      <c r="D1596" s="4" t="s">
        <v>3188</v>
      </c>
      <c r="E1596" s="4"/>
      <c r="F1596" s="18" t="s">
        <v>40</v>
      </c>
      <c r="G1596" s="18" t="s">
        <v>367</v>
      </c>
      <c r="H1596" s="4" t="str">
        <f t="shared" si="3"/>
        <v>1/PC</v>
      </c>
      <c r="I1596" s="18">
        <v>1.0</v>
      </c>
      <c r="J1596" s="19" t="s">
        <v>42</v>
      </c>
      <c r="K1596" s="16">
        <v>299.99999999999994</v>
      </c>
      <c r="L1596" s="16"/>
    </row>
    <row r="1597" ht="15.75" customHeight="1">
      <c r="A1597" s="17" t="s">
        <v>16</v>
      </c>
      <c r="C1597" s="4" t="s">
        <v>3189</v>
      </c>
      <c r="D1597" s="4" t="s">
        <v>3190</v>
      </c>
      <c r="E1597" s="4"/>
      <c r="F1597" s="18" t="s">
        <v>40</v>
      </c>
      <c r="G1597" s="18" t="s">
        <v>367</v>
      </c>
      <c r="H1597" s="4" t="str">
        <f t="shared" si="3"/>
        <v>1/PC</v>
      </c>
      <c r="I1597" s="18">
        <v>1.0</v>
      </c>
      <c r="J1597" s="19" t="s">
        <v>42</v>
      </c>
      <c r="K1597" s="16">
        <v>675.8928571428571</v>
      </c>
      <c r="L1597" s="16"/>
    </row>
    <row r="1598" ht="15.75" customHeight="1">
      <c r="A1598" s="17" t="s">
        <v>2037</v>
      </c>
      <c r="C1598" s="4" t="s">
        <v>3191</v>
      </c>
      <c r="D1598" s="4" t="s">
        <v>3192</v>
      </c>
      <c r="E1598" s="4"/>
      <c r="F1598" s="18" t="s">
        <v>47</v>
      </c>
      <c r="G1598" s="18" t="s">
        <v>47</v>
      </c>
      <c r="H1598" s="4" t="str">
        <f t="shared" si="3"/>
        <v>1/pc</v>
      </c>
      <c r="I1598" s="18">
        <v>1.0</v>
      </c>
      <c r="J1598" s="19" t="s">
        <v>321</v>
      </c>
      <c r="K1598" s="16">
        <v>33.25892857142857</v>
      </c>
      <c r="L1598" s="16"/>
    </row>
    <row r="1599" ht="15.75" customHeight="1">
      <c r="A1599" s="17" t="s">
        <v>2037</v>
      </c>
      <c r="C1599" s="4" t="s">
        <v>3193</v>
      </c>
      <c r="D1599" s="4" t="s">
        <v>3194</v>
      </c>
      <c r="E1599" s="4"/>
      <c r="F1599" s="18" t="s">
        <v>47</v>
      </c>
      <c r="G1599" s="18" t="s">
        <v>47</v>
      </c>
      <c r="H1599" s="4" t="str">
        <f t="shared" si="3"/>
        <v>1/pc</v>
      </c>
      <c r="I1599" s="18">
        <v>1.0</v>
      </c>
      <c r="J1599" s="19" t="s">
        <v>321</v>
      </c>
      <c r="K1599" s="16">
        <v>111.60714285714285</v>
      </c>
      <c r="L1599" s="16"/>
    </row>
    <row r="1600" ht="15.75" customHeight="1">
      <c r="A1600" s="17" t="s">
        <v>2037</v>
      </c>
      <c r="C1600" s="4" t="s">
        <v>3195</v>
      </c>
      <c r="D1600" s="4" t="s">
        <v>3196</v>
      </c>
      <c r="E1600" s="4"/>
      <c r="F1600" s="18" t="s">
        <v>47</v>
      </c>
      <c r="G1600" s="18" t="s">
        <v>47</v>
      </c>
      <c r="H1600" s="4" t="str">
        <f t="shared" si="3"/>
        <v>1/pc</v>
      </c>
      <c r="I1600" s="18">
        <v>1.0</v>
      </c>
      <c r="J1600" s="19" t="s">
        <v>321</v>
      </c>
      <c r="K1600" s="16">
        <v>2857.142857142857</v>
      </c>
      <c r="L1600" s="16"/>
    </row>
    <row r="1601" ht="15.75" customHeight="1">
      <c r="A1601" s="17" t="s">
        <v>2037</v>
      </c>
      <c r="C1601" s="4" t="s">
        <v>3197</v>
      </c>
      <c r="D1601" s="4" t="s">
        <v>3198</v>
      </c>
      <c r="E1601" s="4"/>
      <c r="F1601" s="18" t="s">
        <v>47</v>
      </c>
      <c r="G1601" s="18" t="s">
        <v>47</v>
      </c>
      <c r="H1601" s="4" t="str">
        <f t="shared" si="3"/>
        <v>1/pc</v>
      </c>
      <c r="I1601" s="18">
        <v>1.0</v>
      </c>
      <c r="J1601" s="19" t="s">
        <v>321</v>
      </c>
      <c r="K1601" s="16">
        <v>2499.9999999999995</v>
      </c>
      <c r="L1601" s="16"/>
    </row>
    <row r="1602" ht="15.75" customHeight="1">
      <c r="A1602" s="17" t="s">
        <v>2037</v>
      </c>
      <c r="C1602" s="4" t="s">
        <v>3199</v>
      </c>
      <c r="D1602" s="4" t="s">
        <v>3200</v>
      </c>
      <c r="E1602" s="4"/>
      <c r="F1602" s="18" t="s">
        <v>47</v>
      </c>
      <c r="G1602" s="18" t="s">
        <v>47</v>
      </c>
      <c r="H1602" s="4" t="str">
        <f t="shared" si="3"/>
        <v>1/pc</v>
      </c>
      <c r="I1602" s="18">
        <v>1.0</v>
      </c>
      <c r="J1602" s="19" t="s">
        <v>321</v>
      </c>
      <c r="K1602" s="16">
        <v>1427.6785714285713</v>
      </c>
      <c r="L1602" s="16"/>
    </row>
    <row r="1603" ht="15.75" customHeight="1">
      <c r="A1603" s="17" t="s">
        <v>2037</v>
      </c>
      <c r="C1603" s="4" t="s">
        <v>3201</v>
      </c>
      <c r="D1603" s="4" t="s">
        <v>3202</v>
      </c>
      <c r="E1603" s="4"/>
      <c r="F1603" s="18" t="s">
        <v>47</v>
      </c>
      <c r="G1603" s="18" t="s">
        <v>47</v>
      </c>
      <c r="H1603" s="4" t="str">
        <f t="shared" si="3"/>
        <v>1/pc</v>
      </c>
      <c r="I1603" s="18">
        <v>1.0</v>
      </c>
      <c r="J1603" s="19" t="s">
        <v>321</v>
      </c>
      <c r="K1603" s="16">
        <v>303.12499999999994</v>
      </c>
      <c r="L1603" s="16"/>
    </row>
    <row r="1604" ht="15.75" customHeight="1">
      <c r="A1604" s="17" t="s">
        <v>2037</v>
      </c>
      <c r="C1604" s="4" t="s">
        <v>3203</v>
      </c>
      <c r="D1604" s="4" t="s">
        <v>3204</v>
      </c>
      <c r="E1604" s="4"/>
      <c r="F1604" s="18" t="s">
        <v>47</v>
      </c>
      <c r="G1604" s="18" t="s">
        <v>47</v>
      </c>
      <c r="H1604" s="4" t="str">
        <f t="shared" si="3"/>
        <v>1/pc</v>
      </c>
      <c r="I1604" s="4">
        <v>1.0</v>
      </c>
      <c r="J1604" s="3" t="s">
        <v>321</v>
      </c>
      <c r="K1604" s="16">
        <v>2008.9285714285713</v>
      </c>
      <c r="L1604" s="16"/>
    </row>
    <row r="1605" ht="15.75" customHeight="1">
      <c r="A1605" s="17" t="s">
        <v>2037</v>
      </c>
      <c r="C1605" s="4" t="s">
        <v>3205</v>
      </c>
      <c r="D1605" s="4" t="s">
        <v>3206</v>
      </c>
      <c r="E1605" s="4"/>
      <c r="F1605" s="18" t="s">
        <v>47</v>
      </c>
      <c r="G1605" s="18" t="s">
        <v>47</v>
      </c>
      <c r="H1605" s="4" t="str">
        <f t="shared" si="3"/>
        <v>1/pc</v>
      </c>
      <c r="I1605" s="4">
        <v>1.0</v>
      </c>
      <c r="J1605" s="3" t="s">
        <v>321</v>
      </c>
      <c r="K1605" s="16">
        <v>843.1249999999999</v>
      </c>
      <c r="L1605" s="16"/>
    </row>
    <row r="1606" ht="15.75" customHeight="1">
      <c r="A1606" s="17" t="s">
        <v>2037</v>
      </c>
      <c r="C1606" s="4" t="s">
        <v>3207</v>
      </c>
      <c r="D1606" s="4" t="s">
        <v>3208</v>
      </c>
      <c r="E1606" s="4"/>
      <c r="F1606" s="18" t="s">
        <v>47</v>
      </c>
      <c r="G1606" s="18" t="s">
        <v>47</v>
      </c>
      <c r="H1606" s="4" t="str">
        <f t="shared" si="3"/>
        <v>1/pc</v>
      </c>
      <c r="I1606" s="4">
        <v>1.0</v>
      </c>
      <c r="J1606" s="3" t="s">
        <v>321</v>
      </c>
      <c r="K1606" s="16">
        <v>66.51785714285714</v>
      </c>
      <c r="L1606" s="16"/>
    </row>
    <row r="1607" ht="15.75" customHeight="1">
      <c r="A1607" s="17" t="s">
        <v>2037</v>
      </c>
      <c r="C1607" s="4" t="s">
        <v>3209</v>
      </c>
      <c r="D1607" s="4" t="s">
        <v>3210</v>
      </c>
      <c r="E1607" s="4"/>
      <c r="F1607" s="18" t="s">
        <v>47</v>
      </c>
      <c r="G1607" s="18" t="s">
        <v>47</v>
      </c>
      <c r="H1607" s="4" t="str">
        <f t="shared" si="3"/>
        <v>1/pc</v>
      </c>
      <c r="I1607" s="4">
        <v>1.0</v>
      </c>
      <c r="J1607" s="3" t="s">
        <v>321</v>
      </c>
      <c r="K1607" s="16">
        <v>926.52</v>
      </c>
      <c r="L1607" s="16"/>
    </row>
    <row r="1608" ht="15.75" customHeight="1">
      <c r="A1608" s="17" t="s">
        <v>2037</v>
      </c>
      <c r="C1608" s="4" t="s">
        <v>3211</v>
      </c>
      <c r="D1608" s="4" t="s">
        <v>3212</v>
      </c>
      <c r="E1608" s="4"/>
      <c r="F1608" s="18" t="s">
        <v>47</v>
      </c>
      <c r="G1608" s="18" t="s">
        <v>47</v>
      </c>
      <c r="H1608" s="4" t="str">
        <f t="shared" si="3"/>
        <v>1/pc</v>
      </c>
      <c r="I1608" s="18">
        <v>1.0</v>
      </c>
      <c r="J1608" s="19" t="s">
        <v>321</v>
      </c>
      <c r="K1608" s="16">
        <v>48.88</v>
      </c>
      <c r="L1608" s="16"/>
    </row>
    <row r="1609" ht="15.75" customHeight="1">
      <c r="A1609" s="17" t="s">
        <v>2037</v>
      </c>
      <c r="C1609" s="4" t="s">
        <v>3213</v>
      </c>
      <c r="D1609" s="4" t="s">
        <v>3214</v>
      </c>
      <c r="E1609" s="4"/>
      <c r="F1609" s="18" t="s">
        <v>47</v>
      </c>
      <c r="G1609" s="18" t="s">
        <v>47</v>
      </c>
      <c r="H1609" s="4" t="str">
        <f t="shared" si="3"/>
        <v>1/Pc</v>
      </c>
      <c r="I1609" s="4">
        <v>1.0</v>
      </c>
      <c r="J1609" s="4" t="s">
        <v>1973</v>
      </c>
      <c r="K1609" s="16">
        <v>180.0</v>
      </c>
      <c r="L1609" s="16"/>
    </row>
    <row r="1610" ht="15.75" customHeight="1">
      <c r="A1610" s="17" t="s">
        <v>16</v>
      </c>
      <c r="C1610" s="4" t="s">
        <v>3215</v>
      </c>
      <c r="D1610" s="4" t="s">
        <v>3216</v>
      </c>
      <c r="E1610" s="4"/>
      <c r="F1610" s="18" t="s">
        <v>40</v>
      </c>
      <c r="G1610" s="18" t="s">
        <v>41</v>
      </c>
      <c r="H1610" s="4" t="str">
        <f t="shared" si="3"/>
        <v>1000/Box</v>
      </c>
      <c r="I1610" s="18">
        <v>1000.0</v>
      </c>
      <c r="J1610" s="19" t="s">
        <v>2450</v>
      </c>
      <c r="K1610" s="16">
        <v>169.64</v>
      </c>
      <c r="L1610" s="16"/>
    </row>
    <row r="1611" ht="15.75" customHeight="1">
      <c r="A1611" s="17" t="s">
        <v>2037</v>
      </c>
      <c r="C1611" s="4" t="s">
        <v>3217</v>
      </c>
      <c r="D1611" s="4" t="s">
        <v>3218</v>
      </c>
      <c r="E1611" s="4"/>
      <c r="F1611" s="18" t="s">
        <v>47</v>
      </c>
      <c r="G1611" s="18" t="s">
        <v>47</v>
      </c>
      <c r="H1611" s="4" t="str">
        <f t="shared" si="3"/>
        <v>1/PC</v>
      </c>
      <c r="I1611" s="18">
        <v>1.0</v>
      </c>
      <c r="J1611" s="19" t="s">
        <v>42</v>
      </c>
      <c r="K1611" s="16">
        <v>0.0</v>
      </c>
      <c r="L1611" s="16"/>
    </row>
    <row r="1612" ht="15.75" customHeight="1">
      <c r="C1612" s="4"/>
      <c r="D1612" s="4"/>
      <c r="E1612" s="4"/>
      <c r="F1612" s="18"/>
      <c r="H1612" s="4"/>
      <c r="I1612" s="18"/>
      <c r="J1612" s="19"/>
      <c r="K1612" s="16"/>
      <c r="L1612" s="16"/>
    </row>
    <row r="1613" ht="15.75" customHeight="1">
      <c r="C1613" s="4"/>
      <c r="D1613" s="2"/>
      <c r="E1613" s="2"/>
      <c r="F1613" s="18"/>
      <c r="H1613" s="4"/>
      <c r="I1613" s="18"/>
      <c r="J1613" s="19"/>
      <c r="K1613" s="16"/>
      <c r="L1613" s="16"/>
    </row>
    <row r="1614" ht="15.75" customHeight="1">
      <c r="C1614" s="4"/>
      <c r="D1614" s="4"/>
      <c r="E1614" s="4"/>
      <c r="F1614" s="18"/>
      <c r="H1614" s="4"/>
      <c r="I1614" s="18"/>
      <c r="J1614" s="19"/>
      <c r="K1614" s="16"/>
      <c r="L1614" s="16"/>
    </row>
    <row r="1615" ht="15.75" customHeight="1">
      <c r="C1615" s="4"/>
      <c r="D1615" s="4"/>
      <c r="E1615" s="4"/>
      <c r="F1615" s="18"/>
      <c r="H1615" s="4"/>
      <c r="I1615" s="18"/>
      <c r="J1615" s="19"/>
      <c r="K1615" s="16"/>
      <c r="L1615" s="16"/>
    </row>
    <row r="1616" ht="15.75" customHeight="1">
      <c r="C1616" s="4"/>
      <c r="D1616" s="4"/>
      <c r="E1616" s="4"/>
      <c r="F1616" s="18"/>
      <c r="H1616" s="4"/>
      <c r="I1616" s="18"/>
      <c r="J1616" s="19"/>
      <c r="K1616" s="16"/>
      <c r="L1616" s="16"/>
    </row>
    <row r="1617" ht="15.75" customHeight="1">
      <c r="C1617" s="4"/>
      <c r="D1617" s="4"/>
      <c r="E1617" s="4"/>
      <c r="F1617" s="18"/>
      <c r="H1617" s="4"/>
      <c r="I1617" s="18"/>
      <c r="J1617" s="19"/>
      <c r="K1617" s="16"/>
      <c r="L1617" s="16"/>
    </row>
    <row r="1618" ht="15.75" customHeight="1">
      <c r="C1618" s="4"/>
      <c r="D1618" s="4"/>
      <c r="E1618" s="4"/>
      <c r="F1618" s="18"/>
      <c r="H1618" s="4"/>
      <c r="I1618" s="18"/>
      <c r="J1618" s="19"/>
      <c r="K1618" s="16"/>
      <c r="L1618" s="16"/>
    </row>
    <row r="1619" ht="15.75" customHeight="1">
      <c r="C1619" s="4"/>
      <c r="D1619" s="4"/>
      <c r="E1619" s="4"/>
      <c r="F1619" s="18"/>
      <c r="H1619" s="4"/>
      <c r="I1619" s="18"/>
      <c r="J1619" s="19"/>
      <c r="K1619" s="16"/>
      <c r="L1619" s="16"/>
    </row>
    <row r="1620" ht="15.75" customHeight="1">
      <c r="C1620" s="4"/>
      <c r="D1620" s="4"/>
      <c r="E1620" s="4"/>
      <c r="F1620" s="18"/>
      <c r="H1620" s="4"/>
      <c r="I1620" s="18"/>
      <c r="J1620" s="19"/>
      <c r="K1620" s="16"/>
      <c r="L1620" s="16"/>
    </row>
    <row r="1621" ht="15.75" customHeight="1">
      <c r="C1621" s="4"/>
      <c r="D1621" s="4"/>
      <c r="E1621" s="4"/>
      <c r="F1621" s="18"/>
      <c r="H1621" s="4"/>
      <c r="I1621" s="18"/>
      <c r="J1621" s="19"/>
      <c r="K1621" s="16"/>
      <c r="L1621" s="16"/>
    </row>
    <row r="1622" ht="15.75" customHeight="1">
      <c r="C1622" s="4"/>
      <c r="D1622" s="4"/>
      <c r="E1622" s="4"/>
      <c r="F1622" s="18"/>
      <c r="H1622" s="4"/>
      <c r="I1622" s="18"/>
      <c r="J1622" s="19"/>
      <c r="K1622" s="16"/>
      <c r="L1622" s="16"/>
    </row>
    <row r="1623" ht="15.75" customHeight="1">
      <c r="C1623" s="4"/>
      <c r="D1623" s="4"/>
      <c r="E1623" s="4"/>
      <c r="F1623" s="18"/>
      <c r="H1623" s="4"/>
      <c r="I1623" s="18"/>
      <c r="J1623" s="19"/>
      <c r="K1623" s="16"/>
      <c r="L1623" s="16"/>
    </row>
    <row r="1624" ht="15.75" customHeight="1">
      <c r="C1624" s="4"/>
      <c r="D1624" s="4"/>
      <c r="E1624" s="4"/>
      <c r="F1624" s="18"/>
      <c r="H1624" s="4"/>
      <c r="I1624" s="4"/>
      <c r="J1624" s="3"/>
      <c r="K1624" s="16"/>
      <c r="L1624" s="16"/>
    </row>
    <row r="1625" ht="15.75" customHeight="1">
      <c r="C1625" s="4"/>
      <c r="D1625" s="4"/>
      <c r="E1625" s="4"/>
      <c r="F1625" s="18"/>
      <c r="H1625" s="4"/>
      <c r="I1625" s="4"/>
      <c r="J1625" s="3"/>
      <c r="K1625" s="16"/>
      <c r="L1625" s="16"/>
    </row>
    <row r="1626" ht="15.75" customHeight="1">
      <c r="C1626" s="4"/>
      <c r="D1626" s="4"/>
      <c r="E1626" s="4"/>
      <c r="F1626" s="18"/>
      <c r="H1626" s="4"/>
      <c r="I1626" s="18"/>
      <c r="J1626" s="19"/>
      <c r="K1626" s="16"/>
      <c r="L1626" s="16"/>
    </row>
    <row r="1627" ht="15.75" customHeight="1">
      <c r="C1627" s="4"/>
      <c r="D1627" s="4"/>
      <c r="E1627" s="4"/>
      <c r="F1627" s="18"/>
      <c r="H1627" s="4"/>
      <c r="I1627" s="18"/>
      <c r="J1627" s="19"/>
      <c r="K1627" s="16"/>
      <c r="L1627" s="16"/>
    </row>
    <row r="1628" ht="15.75" customHeight="1">
      <c r="C1628" s="4"/>
      <c r="D1628" s="4"/>
      <c r="E1628" s="4"/>
      <c r="F1628" s="18"/>
      <c r="H1628" s="4"/>
      <c r="I1628" s="18"/>
      <c r="J1628" s="19"/>
      <c r="K1628" s="16"/>
      <c r="L1628" s="16"/>
    </row>
    <row r="1629" ht="15.75" customHeight="1">
      <c r="C1629" s="4"/>
      <c r="D1629" s="4"/>
      <c r="E1629" s="4"/>
      <c r="F1629" s="18"/>
      <c r="H1629" s="4"/>
      <c r="I1629" s="18"/>
      <c r="J1629" s="19"/>
      <c r="K1629" s="16"/>
      <c r="L1629" s="16"/>
    </row>
    <row r="1630" ht="15.75" customHeight="1">
      <c r="C1630" s="4"/>
      <c r="D1630" s="4"/>
      <c r="E1630" s="4"/>
      <c r="F1630" s="18"/>
      <c r="H1630" s="4"/>
      <c r="I1630" s="18"/>
      <c r="J1630" s="19"/>
      <c r="K1630" s="16"/>
      <c r="L1630" s="16"/>
    </row>
    <row r="1631" ht="15.75" customHeight="1">
      <c r="C1631" s="4"/>
      <c r="D1631" s="4"/>
      <c r="E1631" s="4"/>
      <c r="F1631" s="18"/>
      <c r="H1631" s="4"/>
      <c r="I1631" s="18"/>
      <c r="J1631" s="19"/>
      <c r="K1631" s="16"/>
      <c r="L1631" s="16"/>
    </row>
    <row r="1632" ht="15.75" customHeight="1">
      <c r="C1632" s="4"/>
      <c r="D1632" s="4"/>
      <c r="E1632" s="4"/>
      <c r="F1632" s="18"/>
      <c r="H1632" s="4"/>
      <c r="I1632" s="18"/>
      <c r="J1632" s="19"/>
      <c r="K1632" s="16"/>
      <c r="L1632" s="16"/>
    </row>
    <row r="1633" ht="15.75" customHeight="1">
      <c r="C1633" s="4"/>
      <c r="D1633" s="4"/>
      <c r="E1633" s="4"/>
      <c r="F1633" s="18"/>
      <c r="H1633" s="4"/>
      <c r="I1633" s="18"/>
      <c r="J1633" s="19"/>
      <c r="K1633" s="16"/>
      <c r="L1633" s="16"/>
    </row>
    <row r="1634" ht="15.75" customHeight="1">
      <c r="C1634" s="4"/>
      <c r="D1634" s="4"/>
      <c r="E1634" s="4"/>
      <c r="F1634" s="18"/>
      <c r="H1634" s="4"/>
      <c r="I1634" s="18"/>
      <c r="J1634" s="19"/>
      <c r="K1634" s="16"/>
      <c r="L1634" s="16"/>
    </row>
    <row r="1635" ht="15.75" customHeight="1">
      <c r="C1635" s="4"/>
      <c r="D1635" s="4"/>
      <c r="E1635" s="4"/>
      <c r="F1635" s="18"/>
      <c r="H1635" s="4"/>
      <c r="I1635" s="18"/>
      <c r="J1635" s="19"/>
      <c r="K1635" s="16"/>
      <c r="L1635" s="16"/>
    </row>
    <row r="1636" ht="15.75" customHeight="1">
      <c r="C1636" s="4"/>
      <c r="D1636" s="4"/>
      <c r="E1636" s="4"/>
      <c r="F1636" s="18"/>
      <c r="H1636" s="4"/>
      <c r="I1636" s="18"/>
      <c r="J1636" s="19"/>
      <c r="K1636" s="16"/>
      <c r="L1636" s="16"/>
    </row>
    <row r="1637" ht="15.75" customHeight="1">
      <c r="C1637" s="4"/>
      <c r="D1637" s="4"/>
      <c r="E1637" s="4"/>
      <c r="F1637" s="18"/>
      <c r="H1637" s="4"/>
      <c r="I1637" s="18"/>
      <c r="J1637" s="19"/>
      <c r="K1637" s="16"/>
      <c r="L1637" s="16"/>
    </row>
    <row r="1638" ht="15.75" customHeight="1">
      <c r="C1638" s="4"/>
      <c r="D1638" s="4"/>
      <c r="E1638" s="4"/>
      <c r="F1638" s="18"/>
      <c r="H1638" s="4"/>
      <c r="I1638" s="18"/>
      <c r="J1638" s="19"/>
      <c r="K1638" s="16"/>
      <c r="L1638" s="16"/>
    </row>
    <row r="1639" ht="15.75" customHeight="1">
      <c r="C1639" s="4"/>
      <c r="D1639" s="4"/>
      <c r="E1639" s="4"/>
      <c r="F1639" s="18"/>
      <c r="H1639" s="4"/>
      <c r="I1639" s="18"/>
      <c r="J1639" s="19"/>
      <c r="K1639" s="16"/>
      <c r="L1639" s="16"/>
    </row>
    <row r="1640" ht="15.75" customHeight="1">
      <c r="C1640" s="4"/>
      <c r="D1640" s="4"/>
      <c r="E1640" s="4"/>
      <c r="F1640" s="18"/>
      <c r="H1640" s="4"/>
      <c r="I1640" s="4"/>
      <c r="J1640" s="3"/>
      <c r="K1640" s="16"/>
      <c r="L1640" s="16"/>
    </row>
    <row r="1641" ht="15.75" customHeight="1">
      <c r="C1641" s="4"/>
      <c r="D1641" s="4"/>
      <c r="E1641" s="4"/>
      <c r="F1641" s="18"/>
      <c r="H1641" s="4"/>
      <c r="I1641" s="18"/>
      <c r="J1641" s="19"/>
      <c r="K1641" s="16"/>
      <c r="L1641" s="16"/>
    </row>
    <row r="1642" ht="15.75" customHeight="1">
      <c r="C1642" s="4"/>
      <c r="D1642" s="4"/>
      <c r="E1642" s="4"/>
      <c r="F1642" s="18"/>
      <c r="H1642" s="4"/>
      <c r="I1642" s="18"/>
      <c r="J1642" s="19"/>
      <c r="K1642" s="16"/>
      <c r="L1642" s="16"/>
    </row>
    <row r="1643" ht="15.75" customHeight="1">
      <c r="C1643" s="4"/>
      <c r="D1643" s="3"/>
      <c r="E1643" s="3"/>
      <c r="F1643" s="18"/>
      <c r="H1643" s="4"/>
      <c r="I1643" s="4"/>
      <c r="J1643" s="4"/>
      <c r="K1643" s="16"/>
      <c r="L1643" s="16"/>
    </row>
    <row r="1644" ht="15.75" customHeight="1">
      <c r="C1644" s="4"/>
      <c r="D1644" s="3"/>
      <c r="E1644" s="3"/>
      <c r="F1644" s="18"/>
      <c r="H1644" s="4"/>
      <c r="I1644" s="4"/>
      <c r="J1644" s="4"/>
      <c r="K1644" s="16"/>
      <c r="L1644" s="16"/>
    </row>
    <row r="1645" ht="15.75" customHeight="1">
      <c r="C1645" s="4"/>
      <c r="D1645" s="3"/>
      <c r="E1645" s="3"/>
      <c r="F1645" s="18"/>
      <c r="H1645" s="4"/>
      <c r="I1645" s="4"/>
      <c r="J1645" s="4"/>
      <c r="K1645" s="16"/>
      <c r="L1645" s="16"/>
    </row>
    <row r="1646" ht="15.75" customHeight="1">
      <c r="L1646" s="16"/>
    </row>
    <row r="1647" ht="15.75" customHeight="1">
      <c r="L1647" s="16"/>
    </row>
    <row r="1648" ht="15.75" customHeight="1">
      <c r="L1648" s="16"/>
    </row>
    <row r="1649" ht="15.75" customHeight="1">
      <c r="L1649" s="16"/>
    </row>
    <row r="1650" ht="15.75" customHeight="1">
      <c r="L1650" s="16"/>
    </row>
    <row r="1651" ht="15.75" customHeight="1">
      <c r="L1651" s="16"/>
    </row>
    <row r="1652" ht="15.75" customHeight="1">
      <c r="L1652" s="16"/>
    </row>
    <row r="1653" ht="15.75" customHeight="1">
      <c r="L1653" s="16"/>
    </row>
    <row r="1654" ht="15.75" customHeight="1">
      <c r="L1654" s="16"/>
    </row>
    <row r="1655" ht="15.75" customHeight="1">
      <c r="L1655" s="16"/>
    </row>
    <row r="1656" ht="15.75" customHeight="1">
      <c r="L1656" s="16"/>
    </row>
    <row r="1657" ht="15.75" customHeight="1">
      <c r="L1657" s="16"/>
    </row>
    <row r="1658" ht="15.75" customHeight="1">
      <c r="L1658" s="16"/>
    </row>
    <row r="1659" ht="15.75" customHeight="1">
      <c r="L1659" s="16"/>
    </row>
    <row r="1660" ht="15.75" customHeight="1">
      <c r="L1660" s="16"/>
    </row>
    <row r="1661" ht="15.75" customHeight="1">
      <c r="L1661" s="16"/>
    </row>
    <row r="1662" ht="15.75" customHeight="1">
      <c r="L1662" s="16"/>
    </row>
    <row r="1663" ht="15.75" customHeight="1">
      <c r="L1663" s="16"/>
    </row>
    <row r="1664" ht="15.75" customHeight="1">
      <c r="L1664" s="16"/>
    </row>
    <row r="1665" ht="15.75" customHeight="1">
      <c r="L1665" s="16"/>
    </row>
    <row r="1666" ht="15.75" customHeight="1">
      <c r="L1666" s="16"/>
    </row>
    <row r="1667" ht="15.75" customHeight="1">
      <c r="L1667" s="16"/>
    </row>
    <row r="1668" ht="15.75" customHeight="1">
      <c r="L1668" s="16"/>
    </row>
    <row r="1669" ht="15.75" customHeight="1">
      <c r="L1669" s="16"/>
    </row>
    <row r="1670" ht="15.75" customHeight="1">
      <c r="L1670" s="16"/>
    </row>
    <row r="1671" ht="15.75" customHeight="1">
      <c r="L1671" s="16"/>
    </row>
    <row r="1672" ht="15.75" customHeight="1">
      <c r="L1672" s="16"/>
    </row>
    <row r="1673" ht="15.75" customHeight="1">
      <c r="L1673" s="16"/>
    </row>
    <row r="1674" ht="15.75" customHeight="1">
      <c r="L1674" s="16"/>
    </row>
    <row r="1675" ht="15.75" customHeight="1">
      <c r="L1675" s="16"/>
    </row>
    <row r="1676" ht="15.75" customHeight="1">
      <c r="L1676" s="16"/>
    </row>
    <row r="1677" ht="15.75" customHeight="1">
      <c r="L1677" s="16"/>
    </row>
    <row r="1678" ht="15.75" customHeight="1">
      <c r="L1678" s="16"/>
    </row>
    <row r="1679" ht="15.75" customHeight="1">
      <c r="L1679" s="16"/>
    </row>
    <row r="1680" ht="15.75" customHeight="1">
      <c r="L1680" s="16"/>
    </row>
    <row r="1681" ht="15.75" customHeight="1">
      <c r="L1681" s="16"/>
    </row>
    <row r="1682" ht="15.75" customHeight="1">
      <c r="L1682" s="16"/>
    </row>
    <row r="1683" ht="15.75" customHeight="1">
      <c r="L1683" s="16"/>
    </row>
    <row r="1684" ht="15.75" customHeight="1">
      <c r="L1684" s="16"/>
    </row>
    <row r="1685" ht="15.75" customHeight="1">
      <c r="L1685" s="16"/>
    </row>
    <row r="1686" ht="15.75" customHeight="1">
      <c r="L1686" s="16"/>
    </row>
    <row r="1687" ht="15.75" customHeight="1">
      <c r="L1687" s="16"/>
    </row>
    <row r="1688" ht="15.75" customHeight="1">
      <c r="L1688" s="16"/>
    </row>
    <row r="1689" ht="15.75" customHeight="1">
      <c r="L1689" s="16"/>
    </row>
    <row r="1690" ht="15.75" customHeight="1">
      <c r="L1690" s="16"/>
    </row>
    <row r="1691" ht="15.75" customHeight="1">
      <c r="L1691" s="16"/>
    </row>
    <row r="1692" ht="15.75" customHeight="1">
      <c r="L1692" s="16"/>
    </row>
    <row r="1693" ht="15.75" customHeight="1">
      <c r="L1693" s="16"/>
    </row>
    <row r="1694" ht="15.75" customHeight="1">
      <c r="L1694" s="16"/>
    </row>
    <row r="1695" ht="15.75" customHeight="1">
      <c r="L1695" s="16"/>
    </row>
    <row r="1696" ht="15.75" customHeight="1">
      <c r="L1696" s="16"/>
    </row>
    <row r="1697" ht="15.75" customHeight="1">
      <c r="L1697" s="16"/>
    </row>
    <row r="1698" ht="15.75" customHeight="1">
      <c r="L1698" s="16"/>
    </row>
    <row r="1699" ht="15.75" customHeight="1">
      <c r="L1699" s="16"/>
    </row>
    <row r="1700" ht="15.75" customHeight="1">
      <c r="L1700" s="16"/>
    </row>
    <row r="1701" ht="15.75" customHeight="1">
      <c r="L1701" s="16"/>
    </row>
    <row r="1702" ht="15.75" customHeight="1">
      <c r="L1702" s="16"/>
    </row>
    <row r="1703" ht="15.75" customHeight="1">
      <c r="L1703" s="16"/>
    </row>
    <row r="1704" ht="15.75" customHeight="1">
      <c r="L1704" s="16"/>
    </row>
    <row r="1705" ht="15.75" customHeight="1">
      <c r="L1705" s="16"/>
    </row>
    <row r="1706" ht="15.75" customHeight="1">
      <c r="L1706" s="16"/>
    </row>
    <row r="1707" ht="15.75" customHeight="1">
      <c r="L1707" s="16"/>
    </row>
    <row r="1708" ht="15.75" customHeight="1">
      <c r="L1708" s="16"/>
    </row>
    <row r="1709" ht="15.75" customHeight="1">
      <c r="L1709" s="16"/>
    </row>
    <row r="1710" ht="15.75" customHeight="1">
      <c r="L1710" s="16"/>
    </row>
    <row r="1711" ht="15.75" customHeight="1">
      <c r="L1711" s="16"/>
    </row>
    <row r="1712" ht="15.75" customHeight="1">
      <c r="L1712" s="16"/>
    </row>
    <row r="1713" ht="15.75" customHeight="1">
      <c r="L1713" s="16"/>
    </row>
    <row r="1714" ht="15.75" customHeight="1">
      <c r="L1714" s="16"/>
    </row>
    <row r="1715" ht="15.75" customHeight="1">
      <c r="L1715" s="16"/>
    </row>
    <row r="1716" ht="15.75" customHeight="1">
      <c r="L1716" s="16"/>
    </row>
    <row r="1717" ht="15.75" customHeight="1">
      <c r="L1717" s="16"/>
    </row>
    <row r="1718" ht="15.75" customHeight="1">
      <c r="L1718" s="16"/>
    </row>
    <row r="1719" ht="15.75" customHeight="1">
      <c r="L1719" s="16"/>
    </row>
    <row r="1720" ht="15.75" customHeight="1">
      <c r="L1720" s="16"/>
    </row>
    <row r="1721" ht="15.75" customHeight="1">
      <c r="L1721" s="16"/>
    </row>
    <row r="1722" ht="15.75" customHeight="1">
      <c r="L1722" s="16"/>
    </row>
    <row r="1723" ht="15.75" customHeight="1">
      <c r="L1723" s="16"/>
    </row>
    <row r="1724" ht="15.75" customHeight="1">
      <c r="L1724" s="16"/>
    </row>
    <row r="1725" ht="15.75" customHeight="1">
      <c r="L1725" s="16"/>
    </row>
    <row r="1726" ht="15.75" customHeight="1">
      <c r="L1726" s="16"/>
    </row>
    <row r="1727" ht="15.75" customHeight="1">
      <c r="L1727" s="16"/>
    </row>
    <row r="1728" ht="15.75" customHeight="1">
      <c r="L1728" s="16"/>
    </row>
    <row r="1729" ht="15.75" customHeight="1">
      <c r="L1729" s="16"/>
    </row>
    <row r="1730" ht="15.75" customHeight="1">
      <c r="L1730" s="16"/>
    </row>
    <row r="1731" ht="15.75" customHeight="1">
      <c r="L1731" s="16"/>
    </row>
    <row r="1732" ht="15.75" customHeight="1">
      <c r="L1732" s="16"/>
    </row>
    <row r="1733" ht="15.75" customHeight="1">
      <c r="L1733" s="16"/>
    </row>
    <row r="1734" ht="15.75" customHeight="1">
      <c r="L1734" s="16"/>
    </row>
    <row r="1735" ht="15.75" customHeight="1">
      <c r="L1735" s="16"/>
    </row>
    <row r="1736" ht="15.75" customHeight="1">
      <c r="L1736" s="16"/>
    </row>
    <row r="1737" ht="15.75" customHeight="1">
      <c r="L1737" s="16"/>
    </row>
    <row r="1738" ht="15.75" customHeight="1">
      <c r="L1738" s="16"/>
    </row>
    <row r="1739" ht="15.75" customHeight="1">
      <c r="L1739" s="16"/>
    </row>
    <row r="1740" ht="15.75" customHeight="1">
      <c r="L1740" s="16"/>
    </row>
    <row r="1741" ht="15.75" customHeight="1">
      <c r="L1741" s="16"/>
    </row>
    <row r="1742" ht="15.75" customHeight="1">
      <c r="L1742" s="16"/>
    </row>
    <row r="1743" ht="15.75" customHeight="1">
      <c r="L1743" s="16"/>
    </row>
    <row r="1744" ht="15.75" customHeight="1">
      <c r="L1744" s="16"/>
    </row>
    <row r="1745" ht="15.75" customHeight="1">
      <c r="L1745" s="16"/>
    </row>
    <row r="1746" ht="15.75" customHeight="1">
      <c r="L1746" s="16"/>
    </row>
    <row r="1747" ht="15.75" customHeight="1">
      <c r="L1747" s="16"/>
    </row>
    <row r="1748" ht="15.75" customHeight="1">
      <c r="L1748" s="16"/>
    </row>
    <row r="1749" ht="15.75" customHeight="1">
      <c r="L1749" s="16"/>
    </row>
    <row r="1750" ht="15.75" customHeight="1">
      <c r="L1750" s="16"/>
    </row>
    <row r="1751" ht="15.75" customHeight="1">
      <c r="L1751" s="16"/>
    </row>
    <row r="1752" ht="15.75" customHeight="1">
      <c r="L1752" s="16"/>
    </row>
    <row r="1753" ht="15.75" customHeight="1">
      <c r="L1753" s="16"/>
    </row>
    <row r="1754" ht="15.75" customHeight="1">
      <c r="L1754" s="16"/>
    </row>
    <row r="1755" ht="15.75" customHeight="1">
      <c r="L1755" s="16"/>
    </row>
    <row r="1756" ht="15.75" customHeight="1">
      <c r="L1756" s="16"/>
    </row>
    <row r="1757" ht="15.75" customHeight="1">
      <c r="L1757" s="16"/>
    </row>
    <row r="1758" ht="15.75" customHeight="1">
      <c r="L1758" s="16"/>
    </row>
    <row r="1759" ht="15.75" customHeight="1">
      <c r="L1759" s="16"/>
    </row>
    <row r="1760" ht="15.75" customHeight="1">
      <c r="L1760" s="16"/>
    </row>
    <row r="1761" ht="15.75" customHeight="1">
      <c r="L1761" s="16"/>
    </row>
    <row r="1762" ht="15.75" customHeight="1">
      <c r="L1762" s="16"/>
    </row>
    <row r="1763" ht="15.75" customHeight="1">
      <c r="L1763" s="16"/>
    </row>
    <row r="1764" ht="15.75" customHeight="1">
      <c r="L1764" s="16"/>
    </row>
    <row r="1765" ht="15.75" customHeight="1">
      <c r="L1765" s="16"/>
    </row>
    <row r="1766" ht="15.75" customHeight="1">
      <c r="L1766" s="16"/>
    </row>
    <row r="1767" ht="15.75" customHeight="1">
      <c r="L1767" s="16"/>
    </row>
    <row r="1768" ht="15.75" customHeight="1">
      <c r="L1768" s="16"/>
    </row>
    <row r="1769" ht="15.75" customHeight="1">
      <c r="L1769" s="16"/>
    </row>
    <row r="1770" ht="15.75" customHeight="1">
      <c r="L1770" s="16"/>
    </row>
    <row r="1771" ht="15.75" customHeight="1">
      <c r="L1771" s="16"/>
    </row>
    <row r="1772" ht="15.75" customHeight="1">
      <c r="L1772" s="16"/>
    </row>
    <row r="1773" ht="15.75" customHeight="1">
      <c r="L1773" s="16"/>
    </row>
    <row r="1774" ht="15.75" customHeight="1">
      <c r="L1774" s="16"/>
    </row>
    <row r="1775" ht="15.75" customHeight="1">
      <c r="L1775" s="16"/>
    </row>
    <row r="1776" ht="15.75" customHeight="1">
      <c r="L1776" s="16"/>
    </row>
    <row r="1777" ht="15.75" customHeight="1">
      <c r="L1777" s="16"/>
    </row>
    <row r="1778" ht="15.75" customHeight="1">
      <c r="L1778" s="16"/>
    </row>
    <row r="1779" ht="15.75" customHeight="1">
      <c r="L1779" s="16"/>
    </row>
    <row r="1780" ht="15.75" customHeight="1">
      <c r="L1780" s="16"/>
    </row>
    <row r="1781" ht="15.75" customHeight="1">
      <c r="L1781" s="16"/>
    </row>
    <row r="1782" ht="15.75" customHeight="1">
      <c r="L1782" s="16"/>
    </row>
    <row r="1783" ht="15.75" customHeight="1">
      <c r="L1783" s="16"/>
    </row>
    <row r="1784" ht="15.75" customHeight="1">
      <c r="L1784" s="16"/>
    </row>
    <row r="1785" ht="15.75" customHeight="1">
      <c r="L1785" s="16"/>
    </row>
    <row r="1786" ht="15.75" customHeight="1">
      <c r="L1786" s="16"/>
    </row>
    <row r="1787" ht="15.75" customHeight="1">
      <c r="L1787" s="16"/>
    </row>
    <row r="1788" ht="15.75" customHeight="1">
      <c r="L1788" s="16"/>
    </row>
    <row r="1789" ht="15.75" customHeight="1">
      <c r="L1789" s="16"/>
    </row>
    <row r="1790" ht="15.75" customHeight="1">
      <c r="L1790" s="16"/>
    </row>
    <row r="1791" ht="15.75" customHeight="1">
      <c r="L1791" s="16"/>
    </row>
    <row r="1792" ht="15.75" customHeight="1">
      <c r="L1792" s="16"/>
    </row>
    <row r="1793" ht="15.75" customHeight="1">
      <c r="L1793" s="16"/>
    </row>
    <row r="1794" ht="15.75" customHeight="1">
      <c r="L1794" s="16"/>
    </row>
    <row r="1795" ht="15.75" customHeight="1">
      <c r="L1795" s="16"/>
    </row>
    <row r="1796" ht="15.75" customHeight="1">
      <c r="L1796" s="16"/>
    </row>
    <row r="1797" ht="15.75" customHeight="1">
      <c r="L1797" s="16"/>
    </row>
    <row r="1798" ht="15.75" customHeight="1">
      <c r="L1798" s="16"/>
    </row>
    <row r="1799" ht="15.75" customHeight="1">
      <c r="L1799" s="16"/>
    </row>
    <row r="1800" ht="15.75" customHeight="1">
      <c r="L1800" s="16"/>
    </row>
    <row r="1801" ht="15.75" customHeight="1">
      <c r="L1801" s="16"/>
    </row>
    <row r="1802" ht="15.75" customHeight="1">
      <c r="L1802" s="16"/>
    </row>
    <row r="1803" ht="15.75" customHeight="1">
      <c r="L1803" s="16"/>
    </row>
    <row r="1804" ht="15.75" customHeight="1">
      <c r="L1804" s="16"/>
    </row>
    <row r="1805" ht="15.75" customHeight="1">
      <c r="L1805" s="16"/>
    </row>
    <row r="1806" ht="15.75" customHeight="1">
      <c r="L1806" s="16"/>
    </row>
    <row r="1807" ht="15.75" customHeight="1">
      <c r="L1807" s="16"/>
    </row>
    <row r="1808" ht="15.75" customHeight="1">
      <c r="L1808" s="16"/>
    </row>
    <row r="1809" ht="15.75" customHeight="1">
      <c r="L1809" s="16"/>
    </row>
    <row r="1810" ht="15.75" customHeight="1">
      <c r="L1810" s="16"/>
    </row>
    <row r="1811" ht="15.75" customHeight="1">
      <c r="L1811" s="16"/>
    </row>
  </sheetData>
  <autoFilter ref="$A$5:$L$1645"/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2024-08-27T04:43:07Z</dcterms:created>
  <dc:creator>Carissa Banzon</dc:creator>
</cp:coreProperties>
</file>